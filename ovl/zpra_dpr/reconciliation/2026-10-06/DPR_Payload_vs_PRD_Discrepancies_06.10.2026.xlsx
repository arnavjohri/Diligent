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iscrepancies" sheetId="2" state="visible" r:id="rId4"/>
    <sheet name="Reconciliation" sheetId="3" state="visible" r:id="rId5"/>
    <sheet name="Interface notes" sheetId="4" state="visible" r:id="rId6"/>
  </sheets>
  <definedNames>
    <definedName function="false" hidden="true" localSheetId="1" name="_xlnm._FilterDatabase" vbProcedure="false">Discrepancies!$A$1:$N$24</definedName>
    <definedName function="false" hidden="true" localSheetId="2" name="_xlnm._FilterDatabase" vbProcedure="false">Reconciliation!$A$1:$J$43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<sst xmlns="http://schemas.openxmlformats.org/spreadsheetml/2006/main" count="554" uniqueCount="149">
  <si>
    <t xml:space="preserve">DPR inbound reconciliation - CPI payload vs PRD (ZPRA_T_DLY_PRD)</t>
  </si>
  <si>
    <t xml:space="preserve">Payload</t>
  </si>
  <si>
    <t xml:space="preserve">CallActivity_12 (DailyProductionSet, 16 records), REPORTING_DATE 06-10-2026 (COL_CPO: 07-10-2026)</t>
  </si>
  <si>
    <t xml:space="preserve">PRD extract</t>
  </si>
  <si>
    <t xml:space="preserve">ZPRA_T_DLY_PRD, production dates 05.10.2026 and 06.10.2026 as supplied by Arnav</t>
  </si>
  <si>
    <t xml:space="preserve">Compared</t>
  </si>
  <si>
    <t xml:space="preserve">Payload date vs PRD PRODUCTION_DATE, same asset/block/measure. 05.10 rows used only as previous-day reference.</t>
  </si>
  <si>
    <t xml:space="preserve">Prepared</t>
  </si>
  <si>
    <t xml:space="preserve">08.10.2026</t>
  </si>
  <si>
    <t xml:space="preserve">By severity</t>
  </si>
  <si>
    <t xml:space="preserve">High</t>
  </si>
  <si>
    <t xml:space="preserve">Medium</t>
  </si>
  <si>
    <t xml:space="preserve">Low</t>
  </si>
  <si>
    <t xml:space="preserve">Total</t>
  </si>
  <si>
    <t xml:space="preserve">By category</t>
  </si>
  <si>
    <t xml:space="preserve">Comment</t>
  </si>
  <si>
    <t xml:space="preserve">Date</t>
  </si>
  <si>
    <t xml:space="preserve">Master data / mapping</t>
  </si>
  <si>
    <t xml:space="preserve">Missing in PRD</t>
  </si>
  <si>
    <t xml:space="preserve">Missing in PRD / unit</t>
  </si>
  <si>
    <t xml:space="preserve">PRD only</t>
  </si>
  <si>
    <t xml:space="preserve">PRD value not in payload</t>
  </si>
  <si>
    <t xml:space="preserve">Rounding</t>
  </si>
  <si>
    <t xml:space="preserve">Scale x1,000</t>
  </si>
  <si>
    <t xml:space="preserve">Scale x1,000 + block</t>
  </si>
  <si>
    <t xml:space="preserve">Scale x1,000 / locale</t>
  </si>
  <si>
    <t xml:space="preserve">Scale x1,000,000</t>
  </si>
  <si>
    <t xml:space="preserve">Reconciliation lines</t>
  </si>
  <si>
    <t xml:space="preserve">Match</t>
  </si>
  <si>
    <t xml:space="preserve">OK - blank in payload, 0 in PRD</t>
  </si>
  <si>
    <t xml:space="preserve">All lines</t>
  </si>
  <si>
    <t xml:space="preserve">#</t>
  </si>
  <si>
    <t xml:space="preserve">Asset</t>
  </si>
  <si>
    <t xml:space="preserve">Block (payload)</t>
  </si>
  <si>
    <t xml:space="preserve">Measure</t>
  </si>
  <si>
    <t xml:space="preserve">Payload value</t>
  </si>
  <si>
    <t xml:space="preserve">PRD value</t>
  </si>
  <si>
    <t xml:space="preserve">PRD UoM</t>
  </si>
  <si>
    <t xml:space="preserve">Category</t>
  </si>
  <si>
    <t xml:space="preserve">Severity</t>
  </si>
  <si>
    <t xml:space="preserve">PRD - Payload</t>
  </si>
  <si>
    <t xml:space="preserve">PRD / Payload</t>
  </si>
  <si>
    <t xml:space="preserve">Observation</t>
  </si>
  <si>
    <t xml:space="preserve">Recommended action</t>
  </si>
  <si>
    <t xml:space="preserve">06.10.2026</t>
  </si>
  <si>
    <t xml:space="preserve">BRA_BC1</t>
  </si>
  <si>
    <t xml:space="preserve">NET_PROD</t>
  </si>
  <si>
    <t xml:space="preserve">BBL</t>
  </si>
  <si>
    <t xml:space="preserve">No 06.10.2026 rows for BRA_BC1 in PRD. Payload sends the asset code as BLOCK; PRD books BRA_BC1 by block (ABALONA/ARGONAUTA/NAUTILUS/OSTRA, combined volume on ARGONAUTA - 05.10: 34,925 BBL).</t>
  </si>
  <si>
    <t xml:space="preserve">Confirm the 06.10 volume with Brazil asset team; agree whether CPI maps BLOCK=BRA_BC1 to BRA_BC1_ARGONAUTA.</t>
  </si>
  <si>
    <t xml:space="preserve">GROSS_PROD</t>
  </si>
  <si>
    <t xml:space="preserve">MCM</t>
  </si>
  <si>
    <t xml:space="preserve">Missing in PRD. Payload 483,753 looks like m3; PRD unit for BRA_BC1 gas is MCM (05.10: 0.493). 483,753 m3 = 0.484 MCM - consistent with the day before.</t>
  </si>
  <si>
    <t xml:space="preserve">Fix unit at source or in CPI (divide by 1,000,000) before posting.</t>
  </si>
  <si>
    <t xml:space="preserve">BLOCK</t>
  </si>
  <si>
    <t xml:space="preserve">Block 'BRA_BC1' does not exist as a block in PRD.</t>
  </si>
  <si>
    <t xml:space="preserve">Add a CPI value mapping BRA_BC1 -&gt; BRA_BC1_ARGONAUTA, or have the source send the block code.</t>
  </si>
  <si>
    <t xml:space="preserve">07.10.2026</t>
  </si>
  <si>
    <t xml:space="preserve">COL_CPO</t>
  </si>
  <si>
    <t xml:space="preserve">COL_CPO_CALAO</t>
  </si>
  <si>
    <t xml:space="preserve">No 06.10 or 07.10 COL_CPO rows in the PRD extract. 22,207.07 is the asset total (05.10 split INDICO 20,288.56 + MARIPOSA 593.86 + PERICO 1,057.50 = 21,939.92) but is sent on block CALAO, which was 0 on 05.10.</t>
  </si>
  <si>
    <t xml:space="preserve">Confirm whether COL_CPO for this date was posted; correct block split (source or CPI).</t>
  </si>
  <si>
    <t xml:space="preserve">M3</t>
  </si>
  <si>
    <t xml:space="preserve">Missing in PRD. 188,920 vs 05.10 PRD gas total 5,713.49 M3 (INDICO 4,042.23 + MARIPOSA 1,671.26) - about 33x, which suggests the payload is in cubic feet (1 m3 = 35.31 ft3).</t>
  </si>
  <si>
    <t xml:space="preserve">Confirm unit with Colombia asset; convert to M3 before posting.</t>
  </si>
  <si>
    <t xml:space="preserve">REPORTING_DATE</t>
  </si>
  <si>
    <t xml:space="preserve">REPORTING_DATE is 07-10-2026 while every other record in this batch is 06-10-2026.</t>
  </si>
  <si>
    <t xml:space="preserve">Check whether the source sent the report date instead of the production date for COL_CPO.</t>
  </si>
  <si>
    <t xml:space="preserve">RUS_IEC</t>
  </si>
  <si>
    <t xml:space="preserve">RUS_IEC_DVOINOYE</t>
  </si>
  <si>
    <t xml:space="preserve">Payload 0.66, PRD 660 M3. Payload is in thousand m3; ZCL_ZPRA_DAILY_PROD_DPC_EXT applies no factor, so an interface posting would store 0.66 M3.</t>
  </si>
  <si>
    <t xml:space="preserve">Confirm intended unit; add x1000 conversion in CPI for RUS_IEC gas, or send M3.</t>
  </si>
  <si>
    <t xml:space="preserve">RUS_IEC_MAISKOYE</t>
  </si>
  <si>
    <t xml:space="preserve">Payload 9.02 on block MAISKOYE; PRD holds 9,020 M3 on block RUS_IEC_MAISKOYEGRP. Two differences: x1000 and block code.</t>
  </si>
  <si>
    <t xml:space="preserve">Add x1000 conversion and map MAISKOYE gas to MAISKOYEGRP (or align the source).</t>
  </si>
  <si>
    <t xml:space="preserve">RUS_IEC_SNEZHNOYE</t>
  </si>
  <si>
    <t xml:space="preserve">Payload 234.469, PRD 234,469 M3 (thousand m3 vs m3).</t>
  </si>
  <si>
    <t xml:space="preserve">As DVOINOYE.</t>
  </si>
  <si>
    <t xml:space="preserve">RUS_IEC_EASTMAISKOYE</t>
  </si>
  <si>
    <t xml:space="preserve">Block sent in payload (all measures blank) - no such block in PRD.</t>
  </si>
  <si>
    <t xml:space="preserve">Confirm whether EASTMAISKOYE should be maintained; harmless while blank.</t>
  </si>
  <si>
    <t xml:space="preserve">RUS_IEC_KIEVEGANSKOY</t>
  </si>
  <si>
    <t xml:space="preserve">PRD has NET_PROD / WATER_INJ / GROSS_PROD = 0 for this block; block is not in the payload.</t>
  </si>
  <si>
    <t xml:space="preserve">Information only.</t>
  </si>
  <si>
    <t xml:space="preserve">RUS_VAN</t>
  </si>
  <si>
    <t xml:space="preserve">RUS_VAN_VANKORNEFT</t>
  </si>
  <si>
    <t xml:space="preserve">PRD 146,657.30 vs payload 146,657.28 (+0.02) - PRD value rounded to one decimal.</t>
  </si>
  <si>
    <t xml:space="preserve">Information only, unless PRD must hold full precision.</t>
  </si>
  <si>
    <t xml:space="preserve">Payload 10.735 (million m3), PRD 10,735,000 M3.</t>
  </si>
  <si>
    <t xml:space="preserve">Add x1,000,000 conversion in CPI for RUS_VAN gas, or send M3.</t>
  </si>
  <si>
    <t xml:space="preserve">WATER_INJ</t>
  </si>
  <si>
    <t xml:space="preserve">PRD holds WATER_INJ 282,033 M3; payload WATER_INJ is blank.</t>
  </si>
  <si>
    <t xml:space="preserve">Confirm source of 282,033 and why it is not in the CPI message.</t>
  </si>
  <si>
    <t xml:space="preserve">COMMENT</t>
  </si>
  <si>
    <t xml:space="preserve">Payload COMMENT is exactly 1,000 characters and cut mid-word ("...oil-gathering pip"); PRD comment is blank.</t>
  </si>
  <si>
    <t xml:space="preserve">Check COMMENT length limit at source/CPI and in ZPRA_T_DLY_PRD-COMMENTS.</t>
  </si>
  <si>
    <t xml:space="preserve">SSU_SPO</t>
  </si>
  <si>
    <t xml:space="preserve">SSU_SPO_BLOCK5A</t>
  </si>
  <si>
    <t xml:space="preserve">No 06.10 SSU_SPO row in PRD. Payload 15,217.455 is +28% on 05.10 (11,869.00).</t>
  </si>
  <si>
    <t xml:space="preserve">Confirm volume with South Sudan asset and post.</t>
  </si>
  <si>
    <t xml:space="preserve">VEN_CAR</t>
  </si>
  <si>
    <t xml:space="preserve">VEN_CAR_CARABOBO</t>
  </si>
  <si>
    <t xml:space="preserve">Payload '7.105' is Spanish thousands notation for 7,105 (05.10 PRD: 7,110). The interface strips only commas, so it would post 7.105 BBL.</t>
  </si>
  <si>
    <t xml:space="preserve">Source/CPI must send plain decimal numbers (no thousands separator).</t>
  </si>
  <si>
    <t xml:space="preserve">GAS_FLARE</t>
  </si>
  <si>
    <t xml:space="preserve">MCF</t>
  </si>
  <si>
    <t xml:space="preserve">PRD GAS_FLARE 6.67 MCF; payload blank.</t>
  </si>
  <si>
    <t xml:space="preserve">Add GAS_FLARE to the source extract.</t>
  </si>
  <si>
    <t xml:space="preserve">INT_CONS</t>
  </si>
  <si>
    <t xml:space="preserve">PRD INT_CONS 0.2 MCF; payload blank (6.67 + 0.2 = 6.87 = GROSS_PROD).</t>
  </si>
  <si>
    <t xml:space="preserve">Add INT_CONS to the source extract.</t>
  </si>
  <si>
    <t xml:space="preserve">Payload carries a comment; PRD comment is blank.</t>
  </si>
  <si>
    <t xml:space="preserve">VEN_SAN</t>
  </si>
  <si>
    <t xml:space="preserve">VEN_SAN_PIVSA</t>
  </si>
  <si>
    <t xml:space="preserve">PRD NET_PROD 5,550 BBL; payload NET_PROD is blank. Payload comment contains '5575' (TOTAL POZOS PIVSA) - not 5,550.</t>
  </si>
  <si>
    <t xml:space="preserve">Confirm correct volume with Venezuela asset; fix source extract for NET_PROD.</t>
  </si>
  <si>
    <t xml:space="preserve">PRD GAS_FLARE 3.75 MCF; payload blank.</t>
  </si>
  <si>
    <t xml:space="preserve">Payload comment is a flattened well-status table; PRD comment is blank.</t>
  </si>
  <si>
    <t xml:space="preserve">Block (PRD)</t>
  </si>
  <si>
    <t xml:space="preserve">Status</t>
  </si>
  <si>
    <t xml:space="preserve">MMR_BA1</t>
  </si>
  <si>
    <t xml:space="preserve">MMR_BA1_BLOCKA1</t>
  </si>
  <si>
    <t xml:space="preserve">MMR_BA3</t>
  </si>
  <si>
    <t xml:space="preserve">MMR_BA3_BLOCKA3</t>
  </si>
  <si>
    <t xml:space="preserve">RUS_IEC_FESTIVALNOYE</t>
  </si>
  <si>
    <t xml:space="preserve">RUS_IEC_MAISKOYEGRP</t>
  </si>
  <si>
    <t xml:space="preserve">Scale x1,000 (PRD block RUS_IEC_MAISKOYEGRP)</t>
  </si>
  <si>
    <t xml:space="preserve">RUS_IEC_MIDMAISKOYE</t>
  </si>
  <si>
    <t xml:space="preserve">RUS_IEC_SOUTHMAISKOY</t>
  </si>
  <si>
    <t xml:space="preserve">RUS_IEC_WESTMAISKOYE</t>
  </si>
  <si>
    <t xml:space="preserve">UAE_LZC</t>
  </si>
  <si>
    <t xml:space="preserve">UAE_LZC_LOWERZAKUM</t>
  </si>
  <si>
    <t xml:space="preserve">GAS_INJ</t>
  </si>
  <si>
    <t xml:space="preserve">(not in payload)</t>
  </si>
  <si>
    <t xml:space="preserve">PRD only - block not in payload</t>
  </si>
  <si>
    <t xml:space="preserve">Finding (ZCL_ZPRA_DAILY_PROD_DPC_EXT / CPI)</t>
  </si>
  <si>
    <t xml:space="preserve">Impact</t>
  </si>
  <si>
    <t xml:space="preserve">REPORTING_DATE arrives as DD-MM-YYYY ('06-10-2026'). BUILD_PROD_ROWS converts only when the value contains '.'; otherwise it moves the text straight into a DATS field ('06-10-20'), DATE_CHECK_PLAUSIBILITY fails and the record is rejected.</t>
  </si>
  <si>
    <t xml:space="preserve">If CPI forwards this date as-is, every record in this batch is rejected - none of the 06.10 PRD rows would come from this message. Check /IWFND/ERROR_LOG and the CPI message log for this run.</t>
  </si>
  <si>
    <t xml:space="preserve">PRD has 0-value rows (e.g. RUS_IEC WATER_INJ, VEN_SAN INT_CONS) where the payload is blank. The class skips blank fields, and after the 06/10/26 fix it skips zero values too.</t>
  </si>
  <si>
    <t xml:space="preserve">These rows did not come from the interface. CREATED_BY values (95660, 96029, 60749, ...) suggest manual / per-asset entry.</t>
  </si>
  <si>
    <t xml:space="preserve">The class stores the payload number as-is with the UoM from GET_PROD_UOM - no scaling.</t>
  </si>
  <si>
    <t xml:space="preserve">The x1,000 / x1,000,000 differences (RUS_IEC, RUS_VAN, BRA_BC1 gas) would post wrong quantities through the interface. Units must be fixed in CPI or at source.</t>
  </si>
  <si>
    <t xml:space="preserve">The class strips commas only. A value like '7.105' (Spanish thousands separator) is read as 7.105.</t>
  </si>
  <si>
    <t xml:space="preserve">VEN_CAR NET_PROD would post as 7.105 BBL instead of 7,105.</t>
  </si>
  <si>
    <t xml:space="preserve">Block codes in the payload that PRD does not use: BRA_BC1 (asset code), RUS_IEC_EASTMAISKOYE, and RUS_IEC_MAISKOYE gas (PRD: MAISKOYEGRP). COL_CPO sends the asset total on block CALAO.</t>
  </si>
  <si>
    <t xml:space="preserve">The class does not validate the block, so these would post to blocks the DPR reports do not use.</t>
  </si>
  <si>
    <t xml:space="preserve">RUS_VAN COMMENT is exactly 1,000 characters - cut off at source or in CPI.</t>
  </si>
  <si>
    <t xml:space="preserve">Remark text lost; confirm the length of ZPRA_T_DLY_PRD-COMMENTS.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</si>
</sst>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;\-#,##0.000;0"/>
    <numFmt numFmtId="166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8" customFormat="false" ht="15" hidden="false" customHeight="false" outlineLevel="0" collapsed="false">
      <c r="A8" s="2" t="s">
        <v>9</v>
      </c>
    </row>
    <row r="9" customFormat="false" ht="15" hidden="false" customHeight="false" outlineLevel="0" collapsed="false">
      <c r="A9" s="3" t="s">
        <v>10</v>
      </c>
      <c r="B9" s="3" t="n">
        <f aca="false">COUNTIF(Discrepancies!$J:$J,A9)</f>
        <v>8</v>
      </c>
    </row>
    <row r="10" customFormat="false" ht="15" hidden="false" customHeight="false" outlineLevel="0" collapsed="false">
      <c r="A10" s="3" t="s">
        <v>11</v>
      </c>
      <c r="B10" s="3" t="n">
        <f aca="false">COUNTIF(Discrepancies!$J:$J,A10)</f>
        <v>9</v>
      </c>
    </row>
    <row r="11" customFormat="false" ht="15" hidden="false" customHeight="false" outlineLevel="0" collapsed="false">
      <c r="A11" s="3" t="s">
        <v>12</v>
      </c>
      <c r="B11" s="3" t="n">
        <f aca="false">COUNTIF(Discrepancies!$J:$J,A11)</f>
        <v>6</v>
      </c>
    </row>
    <row r="12" customFormat="false" ht="15" hidden="false" customHeight="false" outlineLevel="0" collapsed="false">
      <c r="A12" s="2" t="s">
        <v>13</v>
      </c>
      <c r="B12" s="2" t="n">
        <f aca="false">SUM(B9:B11)</f>
        <v>23</v>
      </c>
    </row>
    <row r="14" customFormat="false" ht="15" hidden="false" customHeight="false" outlineLevel="0" collapsed="false">
      <c r="A14" s="2" t="s">
        <v>14</v>
      </c>
    </row>
    <row r="15" customFormat="false" ht="15" hidden="false" customHeight="false" outlineLevel="0" collapsed="false">
      <c r="A15" s="3" t="s">
        <v>15</v>
      </c>
      <c r="B15" s="3" t="n">
        <f aca="false">COUNTIF(Discrepancies!$I:$I,A15)</f>
        <v>3</v>
      </c>
    </row>
    <row r="16" customFormat="false" ht="15" hidden="false" customHeight="false" outlineLevel="0" collapsed="false">
      <c r="A16" s="3" t="s">
        <v>16</v>
      </c>
      <c r="B16" s="3" t="n">
        <f aca="false">COUNTIF(Discrepancies!$I:$I,A16)</f>
        <v>1</v>
      </c>
    </row>
    <row r="17" customFormat="false" ht="15" hidden="false" customHeight="false" outlineLevel="0" collapsed="false">
      <c r="A17" s="3" t="s">
        <v>17</v>
      </c>
      <c r="B17" s="3" t="n">
        <f aca="false">COUNTIF(Discrepancies!$I:$I,A17)</f>
        <v>2</v>
      </c>
    </row>
    <row r="18" customFormat="false" ht="15" hidden="false" customHeight="false" outlineLevel="0" collapsed="false">
      <c r="A18" s="3" t="s">
        <v>18</v>
      </c>
      <c r="B18" s="3" t="n">
        <f aca="false">COUNTIF(Discrepancies!$I:$I,A18)</f>
        <v>3</v>
      </c>
    </row>
    <row r="19" customFormat="false" ht="15" hidden="false" customHeight="false" outlineLevel="0" collapsed="false">
      <c r="A19" s="3" t="s">
        <v>19</v>
      </c>
      <c r="B19" s="3" t="n">
        <f aca="false">COUNTIF(Discrepancies!$I:$I,A19)</f>
        <v>2</v>
      </c>
    </row>
    <row r="20" customFormat="false" ht="15" hidden="false" customHeight="false" outlineLevel="0" collapsed="false">
      <c r="A20" s="3" t="s">
        <v>20</v>
      </c>
      <c r="B20" s="3" t="n">
        <f aca="false">COUNTIF(Discrepancies!$I:$I,A20)</f>
        <v>1</v>
      </c>
    </row>
    <row r="21" customFormat="false" ht="15" hidden="false" customHeight="false" outlineLevel="0" collapsed="false">
      <c r="A21" s="3" t="s">
        <v>21</v>
      </c>
      <c r="B21" s="3" t="n">
        <f aca="false">COUNTIF(Discrepancies!$I:$I,A21)</f>
        <v>5</v>
      </c>
    </row>
    <row r="22" customFormat="false" ht="15" hidden="false" customHeight="false" outlineLevel="0" collapsed="false">
      <c r="A22" s="3" t="s">
        <v>22</v>
      </c>
      <c r="B22" s="3" t="n">
        <f aca="false">COUNTIF(Discrepancies!$I:$I,A22)</f>
        <v>1</v>
      </c>
    </row>
    <row r="23" customFormat="false" ht="15" hidden="false" customHeight="false" outlineLevel="0" collapsed="false">
      <c r="A23" s="3" t="s">
        <v>23</v>
      </c>
      <c r="B23" s="3" t="n">
        <f aca="false">COUNTIF(Discrepancies!$I:$I,A23)</f>
        <v>2</v>
      </c>
    </row>
    <row r="24" customFormat="false" ht="15" hidden="false" customHeight="false" outlineLevel="0" collapsed="false">
      <c r="A24" s="3" t="s">
        <v>24</v>
      </c>
      <c r="B24" s="3" t="n">
        <f aca="false">COUNTIF(Discrepancies!$I:$I,A24)</f>
        <v>1</v>
      </c>
    </row>
    <row r="25" customFormat="false" ht="15" hidden="false" customHeight="false" outlineLevel="0" collapsed="false">
      <c r="A25" s="3" t="s">
        <v>25</v>
      </c>
      <c r="B25" s="3" t="n">
        <f aca="false">COUNTIF(Discrepancies!$I:$I,A25)</f>
        <v>1</v>
      </c>
    </row>
    <row r="26" customFormat="false" ht="15" hidden="false" customHeight="false" outlineLevel="0" collapsed="false">
      <c r="A26" s="3" t="s">
        <v>26</v>
      </c>
      <c r="B26" s="3" t="n">
        <f aca="false">COUNTIF(Discrepancies!$I:$I,A26)</f>
        <v>1</v>
      </c>
    </row>
    <row r="28" customFormat="false" ht="15" hidden="false" customHeight="false" outlineLevel="0" collapsed="false">
      <c r="A28" s="2" t="s">
        <v>27</v>
      </c>
    </row>
    <row r="29" customFormat="false" ht="15" hidden="false" customHeight="false" outlineLevel="0" collapsed="false">
      <c r="A29" s="3" t="s">
        <v>28</v>
      </c>
      <c r="B29" s="3" t="n">
        <f aca="false">COUNTIF(Reconciliation!$I:$I,A29)</f>
        <v>9</v>
      </c>
    </row>
    <row r="30" customFormat="false" ht="15" hidden="false" customHeight="false" outlineLevel="0" collapsed="false">
      <c r="A30" s="3" t="s">
        <v>29</v>
      </c>
      <c r="B30" s="3" t="n">
        <f aca="false">COUNTIF(Reconciliation!$I:$I,A30)</f>
        <v>14</v>
      </c>
    </row>
    <row r="31" customFormat="false" ht="15" hidden="false" customHeight="false" outlineLevel="0" collapsed="false">
      <c r="A31" s="3" t="s">
        <v>30</v>
      </c>
      <c r="B31" s="3" t="n">
        <f aca="false">COUNTA(Reconciliation!$I:$I)-1</f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9"/>
    <col collapsed="false" customWidth="true" hidden="false" outlineLevel="0" max="9" min="9" style="0" width="22"/>
    <col collapsed="false" customWidth="true" hidden="false" outlineLevel="0" max="10" min="10" style="0" width="9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3" min="13" style="0" width="70"/>
    <col collapsed="false" customWidth="true" hidden="false" outlineLevel="0" max="14" min="14" style="0" width="50"/>
  </cols>
  <sheetData>
    <row r="1" customFormat="false" ht="26.85" hidden="false" customHeight="false" outlineLevel="0" collapsed="false">
      <c r="A1" s="4" t="s">
        <v>31</v>
      </c>
      <c r="B1" s="4" t="s">
        <v>16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42</v>
      </c>
      <c r="N1" s="4" t="s">
        <v>43</v>
      </c>
    </row>
    <row r="2" customFormat="false" ht="35.05" hidden="false" customHeight="false" outlineLevel="0" collapsed="false">
      <c r="A2" s="5" t="n">
        <v>1</v>
      </c>
      <c r="B2" s="5" t="s">
        <v>44</v>
      </c>
      <c r="C2" s="5" t="s">
        <v>45</v>
      </c>
      <c r="D2" s="5" t="s">
        <v>45</v>
      </c>
      <c r="E2" s="5" t="s">
        <v>46</v>
      </c>
      <c r="F2" s="6" t="n">
        <v>35006.289</v>
      </c>
      <c r="G2" s="6"/>
      <c r="H2" s="5" t="s">
        <v>47</v>
      </c>
      <c r="I2" s="5" t="s">
        <v>18</v>
      </c>
      <c r="J2" s="5" t="s">
        <v>10</v>
      </c>
      <c r="K2" s="6" t="str">
        <f aca="false">IF(AND(ISNUMBER(F2),ISNUMBER(G2)),G2-F2,"")</f>
        <v/>
      </c>
      <c r="L2" s="7" t="str">
        <f aca="false">IF(AND(ISNUMBER(F2),ISNUMBER(G2),F2&lt;&gt;0),G2/F2,"")</f>
        <v/>
      </c>
      <c r="M2" s="5" t="s">
        <v>48</v>
      </c>
      <c r="N2" s="5" t="s">
        <v>49</v>
      </c>
    </row>
    <row r="3" customFormat="false" ht="23.85" hidden="false" customHeight="false" outlineLevel="0" collapsed="false">
      <c r="A3" s="5" t="n">
        <v>2</v>
      </c>
      <c r="B3" s="5" t="s">
        <v>44</v>
      </c>
      <c r="C3" s="5" t="s">
        <v>45</v>
      </c>
      <c r="D3" s="5" t="s">
        <v>45</v>
      </c>
      <c r="E3" s="5" t="s">
        <v>50</v>
      </c>
      <c r="F3" s="6" t="n">
        <v>483753</v>
      </c>
      <c r="G3" s="6"/>
      <c r="H3" s="5" t="s">
        <v>51</v>
      </c>
      <c r="I3" s="5" t="s">
        <v>19</v>
      </c>
      <c r="J3" s="5" t="s">
        <v>10</v>
      </c>
      <c r="K3" s="6" t="str">
        <f aca="false">IF(AND(ISNUMBER(F3),ISNUMBER(G3)),G3-F3,"")</f>
        <v/>
      </c>
      <c r="L3" s="7" t="str">
        <f aca="false">IF(AND(ISNUMBER(F3),ISNUMBER(G3),F3&lt;&gt;0),G3/F3,"")</f>
        <v/>
      </c>
      <c r="M3" s="5" t="s">
        <v>52</v>
      </c>
      <c r="N3" s="5" t="s">
        <v>53</v>
      </c>
    </row>
    <row r="4" customFormat="false" ht="35.05" hidden="false" customHeight="false" outlineLevel="0" collapsed="false">
      <c r="A4" s="5" t="n">
        <v>3</v>
      </c>
      <c r="B4" s="5" t="s">
        <v>44</v>
      </c>
      <c r="C4" s="5" t="s">
        <v>45</v>
      </c>
      <c r="D4" s="5" t="s">
        <v>45</v>
      </c>
      <c r="E4" s="5" t="s">
        <v>54</v>
      </c>
      <c r="F4" s="6"/>
      <c r="G4" s="6"/>
      <c r="H4" s="5"/>
      <c r="I4" s="5" t="s">
        <v>17</v>
      </c>
      <c r="J4" s="5" t="s">
        <v>11</v>
      </c>
      <c r="K4" s="6" t="str">
        <f aca="false">IF(AND(ISNUMBER(F4),ISNUMBER(G4)),G4-F4,"")</f>
        <v/>
      </c>
      <c r="L4" s="7" t="str">
        <f aca="false">IF(AND(ISNUMBER(F4),ISNUMBER(G4),F4&lt;&gt;0),G4/F4,"")</f>
        <v/>
      </c>
      <c r="M4" s="5" t="s">
        <v>55</v>
      </c>
      <c r="N4" s="5" t="s">
        <v>56</v>
      </c>
    </row>
    <row r="5" customFormat="false" ht="35.05" hidden="false" customHeight="false" outlineLevel="0" collapsed="false">
      <c r="A5" s="5" t="n">
        <v>4</v>
      </c>
      <c r="B5" s="5" t="s">
        <v>57</v>
      </c>
      <c r="C5" s="5" t="s">
        <v>58</v>
      </c>
      <c r="D5" s="5" t="s">
        <v>59</v>
      </c>
      <c r="E5" s="5" t="s">
        <v>46</v>
      </c>
      <c r="F5" s="6" t="n">
        <v>22207.07</v>
      </c>
      <c r="G5" s="6"/>
      <c r="H5" s="5" t="s">
        <v>47</v>
      </c>
      <c r="I5" s="5" t="s">
        <v>18</v>
      </c>
      <c r="J5" s="5" t="s">
        <v>10</v>
      </c>
      <c r="K5" s="6" t="str">
        <f aca="false">IF(AND(ISNUMBER(F5),ISNUMBER(G5)),G5-F5,"")</f>
        <v/>
      </c>
      <c r="L5" s="7" t="str">
        <f aca="false">IF(AND(ISNUMBER(F5),ISNUMBER(G5),F5&lt;&gt;0),G5/F5,"")</f>
        <v/>
      </c>
      <c r="M5" s="5" t="s">
        <v>60</v>
      </c>
      <c r="N5" s="5" t="s">
        <v>61</v>
      </c>
    </row>
    <row r="6" customFormat="false" ht="35.05" hidden="false" customHeight="false" outlineLevel="0" collapsed="false">
      <c r="A6" s="5" t="n">
        <v>5</v>
      </c>
      <c r="B6" s="5" t="s">
        <v>57</v>
      </c>
      <c r="C6" s="5" t="s">
        <v>58</v>
      </c>
      <c r="D6" s="5" t="s">
        <v>59</v>
      </c>
      <c r="E6" s="5" t="s">
        <v>50</v>
      </c>
      <c r="F6" s="6" t="n">
        <v>188920</v>
      </c>
      <c r="G6" s="6"/>
      <c r="H6" s="5" t="s">
        <v>62</v>
      </c>
      <c r="I6" s="5" t="s">
        <v>19</v>
      </c>
      <c r="J6" s="5" t="s">
        <v>10</v>
      </c>
      <c r="K6" s="6" t="str">
        <f aca="false">IF(AND(ISNUMBER(F6),ISNUMBER(G6)),G6-F6,"")</f>
        <v/>
      </c>
      <c r="L6" s="7" t="str">
        <f aca="false">IF(AND(ISNUMBER(F6),ISNUMBER(G6),F6&lt;&gt;0),G6/F6,"")</f>
        <v/>
      </c>
      <c r="M6" s="5" t="s">
        <v>63</v>
      </c>
      <c r="N6" s="5" t="s">
        <v>64</v>
      </c>
    </row>
    <row r="7" customFormat="false" ht="23.85" hidden="false" customHeight="false" outlineLevel="0" collapsed="false">
      <c r="A7" s="5" t="n">
        <v>6</v>
      </c>
      <c r="B7" s="5" t="s">
        <v>57</v>
      </c>
      <c r="C7" s="5" t="s">
        <v>58</v>
      </c>
      <c r="D7" s="5" t="s">
        <v>59</v>
      </c>
      <c r="E7" s="5" t="s">
        <v>65</v>
      </c>
      <c r="F7" s="6"/>
      <c r="G7" s="6"/>
      <c r="H7" s="5"/>
      <c r="I7" s="5" t="s">
        <v>16</v>
      </c>
      <c r="J7" s="5" t="s">
        <v>11</v>
      </c>
      <c r="K7" s="6" t="str">
        <f aca="false">IF(AND(ISNUMBER(F7),ISNUMBER(G7)),G7-F7,"")</f>
        <v/>
      </c>
      <c r="L7" s="7" t="str">
        <f aca="false">IF(AND(ISNUMBER(F7),ISNUMBER(G7),F7&lt;&gt;0),G7/F7,"")</f>
        <v/>
      </c>
      <c r="M7" s="5" t="s">
        <v>66</v>
      </c>
      <c r="N7" s="5" t="s">
        <v>67</v>
      </c>
    </row>
    <row r="8" customFormat="false" ht="35.05" hidden="false" customHeight="false" outlineLevel="0" collapsed="false">
      <c r="A8" s="5" t="n">
        <v>7</v>
      </c>
      <c r="B8" s="5" t="s">
        <v>44</v>
      </c>
      <c r="C8" s="5" t="s">
        <v>68</v>
      </c>
      <c r="D8" s="5" t="s">
        <v>69</v>
      </c>
      <c r="E8" s="5" t="s">
        <v>50</v>
      </c>
      <c r="F8" s="6" t="n">
        <v>0.66</v>
      </c>
      <c r="G8" s="6" t="n">
        <v>660</v>
      </c>
      <c r="H8" s="5" t="s">
        <v>62</v>
      </c>
      <c r="I8" s="5" t="s">
        <v>23</v>
      </c>
      <c r="J8" s="5" t="s">
        <v>11</v>
      </c>
      <c r="K8" s="6" t="n">
        <f aca="false">IF(AND(ISNUMBER(F8),ISNUMBER(G8)),G8-F8,"")</f>
        <v>659.34</v>
      </c>
      <c r="L8" s="7" t="n">
        <f aca="false">IF(AND(ISNUMBER(F8),ISNUMBER(G8),F8&lt;&gt;0),G8/F8,"")</f>
        <v>1000</v>
      </c>
      <c r="M8" s="5" t="s">
        <v>70</v>
      </c>
      <c r="N8" s="5" t="s">
        <v>71</v>
      </c>
    </row>
    <row r="9" customFormat="false" ht="23.85" hidden="false" customHeight="false" outlineLevel="0" collapsed="false">
      <c r="A9" s="5" t="n">
        <v>8</v>
      </c>
      <c r="B9" s="5" t="s">
        <v>44</v>
      </c>
      <c r="C9" s="5" t="s">
        <v>68</v>
      </c>
      <c r="D9" s="5" t="s">
        <v>72</v>
      </c>
      <c r="E9" s="5" t="s">
        <v>50</v>
      </c>
      <c r="F9" s="6" t="n">
        <v>9.02</v>
      </c>
      <c r="G9" s="6" t="n">
        <v>9020</v>
      </c>
      <c r="H9" s="5" t="s">
        <v>62</v>
      </c>
      <c r="I9" s="5" t="s">
        <v>24</v>
      </c>
      <c r="J9" s="5" t="s">
        <v>11</v>
      </c>
      <c r="K9" s="6" t="n">
        <f aca="false">IF(AND(ISNUMBER(F9),ISNUMBER(G9)),G9-F9,"")</f>
        <v>9010.98</v>
      </c>
      <c r="L9" s="7" t="n">
        <f aca="false">IF(AND(ISNUMBER(F9),ISNUMBER(G9),F9&lt;&gt;0),G9/F9,"")</f>
        <v>1000</v>
      </c>
      <c r="M9" s="5" t="s">
        <v>73</v>
      </c>
      <c r="N9" s="5" t="s">
        <v>74</v>
      </c>
    </row>
    <row r="10" customFormat="false" ht="15" hidden="false" customHeight="false" outlineLevel="0" collapsed="false">
      <c r="A10" s="5" t="n">
        <v>9</v>
      </c>
      <c r="B10" s="5" t="s">
        <v>44</v>
      </c>
      <c r="C10" s="5" t="s">
        <v>68</v>
      </c>
      <c r="D10" s="5" t="s">
        <v>75</v>
      </c>
      <c r="E10" s="5" t="s">
        <v>50</v>
      </c>
      <c r="F10" s="6" t="n">
        <v>234.469</v>
      </c>
      <c r="G10" s="6" t="n">
        <v>234469</v>
      </c>
      <c r="H10" s="5" t="s">
        <v>62</v>
      </c>
      <c r="I10" s="5" t="s">
        <v>23</v>
      </c>
      <c r="J10" s="5" t="s">
        <v>11</v>
      </c>
      <c r="K10" s="6" t="n">
        <f aca="false">IF(AND(ISNUMBER(F10),ISNUMBER(G10)),G10-F10,"")</f>
        <v>234234.531</v>
      </c>
      <c r="L10" s="7" t="n">
        <f aca="false">IF(AND(ISNUMBER(F10),ISNUMBER(G10),F10&lt;&gt;0),G10/F10,"")</f>
        <v>1000</v>
      </c>
      <c r="M10" s="5" t="s">
        <v>76</v>
      </c>
      <c r="N10" s="5" t="s">
        <v>77</v>
      </c>
    </row>
    <row r="11" customFormat="false" ht="23.85" hidden="false" customHeight="false" outlineLevel="0" collapsed="false">
      <c r="A11" s="5" t="n">
        <v>10</v>
      </c>
      <c r="B11" s="5" t="s">
        <v>44</v>
      </c>
      <c r="C11" s="5" t="s">
        <v>68</v>
      </c>
      <c r="D11" s="5" t="s">
        <v>78</v>
      </c>
      <c r="E11" s="5" t="s">
        <v>54</v>
      </c>
      <c r="F11" s="6"/>
      <c r="G11" s="6"/>
      <c r="H11" s="5"/>
      <c r="I11" s="5" t="s">
        <v>17</v>
      </c>
      <c r="J11" s="5" t="s">
        <v>12</v>
      </c>
      <c r="K11" s="6" t="str">
        <f aca="false">IF(AND(ISNUMBER(F11),ISNUMBER(G11)),G11-F11,"")</f>
        <v/>
      </c>
      <c r="L11" s="7" t="str">
        <f aca="false">IF(AND(ISNUMBER(F11),ISNUMBER(G11),F11&lt;&gt;0),G11/F11,"")</f>
        <v/>
      </c>
      <c r="M11" s="5" t="s">
        <v>79</v>
      </c>
      <c r="N11" s="5" t="s">
        <v>80</v>
      </c>
    </row>
    <row r="12" customFormat="false" ht="23.85" hidden="false" customHeight="false" outlineLevel="0" collapsed="false">
      <c r="A12" s="5" t="n">
        <v>11</v>
      </c>
      <c r="B12" s="5" t="s">
        <v>44</v>
      </c>
      <c r="C12" s="5" t="s">
        <v>68</v>
      </c>
      <c r="D12" s="5" t="s">
        <v>81</v>
      </c>
      <c r="E12" s="5" t="s">
        <v>54</v>
      </c>
      <c r="F12" s="6"/>
      <c r="G12" s="6" t="n">
        <v>0</v>
      </c>
      <c r="H12" s="5"/>
      <c r="I12" s="5" t="s">
        <v>20</v>
      </c>
      <c r="J12" s="5" t="s">
        <v>12</v>
      </c>
      <c r="K12" s="6" t="str">
        <f aca="false">IF(AND(ISNUMBER(F12),ISNUMBER(G12)),G12-F12,"")</f>
        <v/>
      </c>
      <c r="L12" s="7" t="str">
        <f aca="false">IF(AND(ISNUMBER(F12),ISNUMBER(G12),F12&lt;&gt;0),G12/F12,"")</f>
        <v/>
      </c>
      <c r="M12" s="5" t="s">
        <v>82</v>
      </c>
      <c r="N12" s="5" t="s">
        <v>83</v>
      </c>
    </row>
    <row r="13" customFormat="false" ht="15" hidden="false" customHeight="false" outlineLevel="0" collapsed="false">
      <c r="A13" s="5" t="n">
        <v>12</v>
      </c>
      <c r="B13" s="5" t="s">
        <v>44</v>
      </c>
      <c r="C13" s="5" t="s">
        <v>84</v>
      </c>
      <c r="D13" s="5" t="s">
        <v>85</v>
      </c>
      <c r="E13" s="5" t="s">
        <v>46</v>
      </c>
      <c r="F13" s="6" t="n">
        <v>146657.28</v>
      </c>
      <c r="G13" s="6" t="n">
        <v>146657.3</v>
      </c>
      <c r="H13" s="5" t="s">
        <v>47</v>
      </c>
      <c r="I13" s="5" t="s">
        <v>22</v>
      </c>
      <c r="J13" s="5" t="s">
        <v>12</v>
      </c>
      <c r="K13" s="6" t="n">
        <f aca="false">IF(AND(ISNUMBER(F13),ISNUMBER(G13)),G13-F13,"")</f>
        <v>0.0199999999895226</v>
      </c>
      <c r="L13" s="7" t="n">
        <f aca="false">IF(AND(ISNUMBER(F13),ISNUMBER(G13),F13&lt;&gt;0),G13/F13,"")</f>
        <v>1.00000013637236</v>
      </c>
      <c r="M13" s="5" t="s">
        <v>86</v>
      </c>
      <c r="N13" s="5" t="s">
        <v>87</v>
      </c>
    </row>
    <row r="14" customFormat="false" ht="23.85" hidden="false" customHeight="false" outlineLevel="0" collapsed="false">
      <c r="A14" s="5" t="n">
        <v>13</v>
      </c>
      <c r="B14" s="5" t="s">
        <v>44</v>
      </c>
      <c r="C14" s="5" t="s">
        <v>84</v>
      </c>
      <c r="D14" s="5" t="s">
        <v>85</v>
      </c>
      <c r="E14" s="5" t="s">
        <v>50</v>
      </c>
      <c r="F14" s="6" t="n">
        <v>10.735</v>
      </c>
      <c r="G14" s="6" t="n">
        <v>10735000</v>
      </c>
      <c r="H14" s="5" t="s">
        <v>62</v>
      </c>
      <c r="I14" s="5" t="s">
        <v>26</v>
      </c>
      <c r="J14" s="5" t="s">
        <v>11</v>
      </c>
      <c r="K14" s="6" t="n">
        <f aca="false">IF(AND(ISNUMBER(F14),ISNUMBER(G14)),G14-F14,"")</f>
        <v>10734989.265</v>
      </c>
      <c r="L14" s="7" t="n">
        <f aca="false">IF(AND(ISNUMBER(F14),ISNUMBER(G14),F14&lt;&gt;0),G14/F14,"")</f>
        <v>1000000</v>
      </c>
      <c r="M14" s="5" t="s">
        <v>88</v>
      </c>
      <c r="N14" s="5" t="s">
        <v>89</v>
      </c>
    </row>
    <row r="15" customFormat="false" ht="23.85" hidden="false" customHeight="false" outlineLevel="0" collapsed="false">
      <c r="A15" s="5" t="n">
        <v>14</v>
      </c>
      <c r="B15" s="5" t="s">
        <v>44</v>
      </c>
      <c r="C15" s="5" t="s">
        <v>84</v>
      </c>
      <c r="D15" s="5" t="s">
        <v>85</v>
      </c>
      <c r="E15" s="5" t="s">
        <v>90</v>
      </c>
      <c r="F15" s="6"/>
      <c r="G15" s="6" t="n">
        <v>282033</v>
      </c>
      <c r="H15" s="5" t="s">
        <v>62</v>
      </c>
      <c r="I15" s="5" t="s">
        <v>21</v>
      </c>
      <c r="J15" s="5" t="s">
        <v>10</v>
      </c>
      <c r="K15" s="6" t="str">
        <f aca="false">IF(AND(ISNUMBER(F15),ISNUMBER(G15)),G15-F15,"")</f>
        <v/>
      </c>
      <c r="L15" s="7" t="str">
        <f aca="false">IF(AND(ISNUMBER(F15),ISNUMBER(G15),F15&lt;&gt;0),G15/F15,"")</f>
        <v/>
      </c>
      <c r="M15" s="5" t="s">
        <v>91</v>
      </c>
      <c r="N15" s="5" t="s">
        <v>92</v>
      </c>
    </row>
    <row r="16" customFormat="false" ht="23.85" hidden="false" customHeight="false" outlineLevel="0" collapsed="false">
      <c r="A16" s="5" t="n">
        <v>15</v>
      </c>
      <c r="B16" s="5" t="s">
        <v>44</v>
      </c>
      <c r="C16" s="5" t="s">
        <v>84</v>
      </c>
      <c r="D16" s="5" t="s">
        <v>85</v>
      </c>
      <c r="E16" s="5" t="s">
        <v>93</v>
      </c>
      <c r="F16" s="6"/>
      <c r="G16" s="6"/>
      <c r="H16" s="5"/>
      <c r="I16" s="5" t="s">
        <v>15</v>
      </c>
      <c r="J16" s="5" t="s">
        <v>12</v>
      </c>
      <c r="K16" s="6" t="str">
        <f aca="false">IF(AND(ISNUMBER(F16),ISNUMBER(G16)),G16-F16,"")</f>
        <v/>
      </c>
      <c r="L16" s="7" t="str">
        <f aca="false">IF(AND(ISNUMBER(F16),ISNUMBER(G16),F16&lt;&gt;0),G16/F16,"")</f>
        <v/>
      </c>
      <c r="M16" s="5" t="s">
        <v>94</v>
      </c>
      <c r="N16" s="5" t="s">
        <v>95</v>
      </c>
    </row>
    <row r="17" customFormat="false" ht="15" hidden="false" customHeight="false" outlineLevel="0" collapsed="false">
      <c r="A17" s="5" t="n">
        <v>16</v>
      </c>
      <c r="B17" s="5" t="s">
        <v>44</v>
      </c>
      <c r="C17" s="5" t="s">
        <v>96</v>
      </c>
      <c r="D17" s="5" t="s">
        <v>97</v>
      </c>
      <c r="E17" s="5" t="s">
        <v>46</v>
      </c>
      <c r="F17" s="6" t="n">
        <v>15217.455</v>
      </c>
      <c r="G17" s="6"/>
      <c r="H17" s="5" t="s">
        <v>47</v>
      </c>
      <c r="I17" s="5" t="s">
        <v>18</v>
      </c>
      <c r="J17" s="5" t="s">
        <v>10</v>
      </c>
      <c r="K17" s="6" t="str">
        <f aca="false">IF(AND(ISNUMBER(F17),ISNUMBER(G17)),G17-F17,"")</f>
        <v/>
      </c>
      <c r="L17" s="7" t="str">
        <f aca="false">IF(AND(ISNUMBER(F17),ISNUMBER(G17),F17&lt;&gt;0),G17/F17,"")</f>
        <v/>
      </c>
      <c r="M17" s="5" t="s">
        <v>98</v>
      </c>
      <c r="N17" s="5" t="s">
        <v>99</v>
      </c>
    </row>
    <row r="18" customFormat="false" ht="23.85" hidden="false" customHeight="false" outlineLevel="0" collapsed="false">
      <c r="A18" s="5" t="n">
        <v>17</v>
      </c>
      <c r="B18" s="5" t="s">
        <v>44</v>
      </c>
      <c r="C18" s="5" t="s">
        <v>100</v>
      </c>
      <c r="D18" s="5" t="s">
        <v>101</v>
      </c>
      <c r="E18" s="5" t="s">
        <v>46</v>
      </c>
      <c r="F18" s="6" t="n">
        <v>7.105</v>
      </c>
      <c r="G18" s="6" t="n">
        <v>7105</v>
      </c>
      <c r="H18" s="5" t="s">
        <v>47</v>
      </c>
      <c r="I18" s="5" t="s">
        <v>25</v>
      </c>
      <c r="J18" s="5" t="s">
        <v>10</v>
      </c>
      <c r="K18" s="6" t="n">
        <f aca="false">IF(AND(ISNUMBER(F18),ISNUMBER(G18)),G18-F18,"")</f>
        <v>7097.895</v>
      </c>
      <c r="L18" s="7" t="n">
        <f aca="false">IF(AND(ISNUMBER(F18),ISNUMBER(G18),F18&lt;&gt;0),G18/F18,"")</f>
        <v>1000</v>
      </c>
      <c r="M18" s="5" t="s">
        <v>102</v>
      </c>
      <c r="N18" s="5" t="s">
        <v>103</v>
      </c>
    </row>
    <row r="19" customFormat="false" ht="15" hidden="false" customHeight="false" outlineLevel="0" collapsed="false">
      <c r="A19" s="5" t="n">
        <v>18</v>
      </c>
      <c r="B19" s="5" t="s">
        <v>44</v>
      </c>
      <c r="C19" s="5" t="s">
        <v>100</v>
      </c>
      <c r="D19" s="5" t="s">
        <v>101</v>
      </c>
      <c r="E19" s="5" t="s">
        <v>104</v>
      </c>
      <c r="F19" s="6"/>
      <c r="G19" s="6" t="n">
        <v>6.67</v>
      </c>
      <c r="H19" s="5" t="s">
        <v>105</v>
      </c>
      <c r="I19" s="5" t="s">
        <v>21</v>
      </c>
      <c r="J19" s="5" t="s">
        <v>11</v>
      </c>
      <c r="K19" s="6" t="str">
        <f aca="false">IF(AND(ISNUMBER(F19),ISNUMBER(G19)),G19-F19,"")</f>
        <v/>
      </c>
      <c r="L19" s="7" t="str">
        <f aca="false">IF(AND(ISNUMBER(F19),ISNUMBER(G19),F19&lt;&gt;0),G19/F19,"")</f>
        <v/>
      </c>
      <c r="M19" s="5" t="s">
        <v>106</v>
      </c>
      <c r="N19" s="5" t="s">
        <v>107</v>
      </c>
    </row>
    <row r="20" customFormat="false" ht="15" hidden="false" customHeight="false" outlineLevel="0" collapsed="false">
      <c r="A20" s="5" t="n">
        <v>19</v>
      </c>
      <c r="B20" s="5" t="s">
        <v>44</v>
      </c>
      <c r="C20" s="5" t="s">
        <v>100</v>
      </c>
      <c r="D20" s="5" t="s">
        <v>101</v>
      </c>
      <c r="E20" s="5" t="s">
        <v>108</v>
      </c>
      <c r="F20" s="6"/>
      <c r="G20" s="6" t="n">
        <v>0.2</v>
      </c>
      <c r="H20" s="5" t="s">
        <v>105</v>
      </c>
      <c r="I20" s="5" t="s">
        <v>21</v>
      </c>
      <c r="J20" s="5" t="s">
        <v>11</v>
      </c>
      <c r="K20" s="6" t="str">
        <f aca="false">IF(AND(ISNUMBER(F20),ISNUMBER(G20)),G20-F20,"")</f>
        <v/>
      </c>
      <c r="L20" s="7" t="str">
        <f aca="false">IF(AND(ISNUMBER(F20),ISNUMBER(G20),F20&lt;&gt;0),G20/F20,"")</f>
        <v/>
      </c>
      <c r="M20" s="5" t="s">
        <v>109</v>
      </c>
      <c r="N20" s="5" t="s">
        <v>110</v>
      </c>
    </row>
    <row r="21" customFormat="false" ht="15" hidden="false" customHeight="false" outlineLevel="0" collapsed="false">
      <c r="A21" s="5" t="n">
        <v>20</v>
      </c>
      <c r="B21" s="5" t="s">
        <v>44</v>
      </c>
      <c r="C21" s="5" t="s">
        <v>100</v>
      </c>
      <c r="D21" s="5" t="s">
        <v>101</v>
      </c>
      <c r="E21" s="5" t="s">
        <v>93</v>
      </c>
      <c r="F21" s="6"/>
      <c r="G21" s="6"/>
      <c r="H21" s="5"/>
      <c r="I21" s="5" t="s">
        <v>15</v>
      </c>
      <c r="J21" s="5" t="s">
        <v>12</v>
      </c>
      <c r="K21" s="6" t="str">
        <f aca="false">IF(AND(ISNUMBER(F21),ISNUMBER(G21)),G21-F21,"")</f>
        <v/>
      </c>
      <c r="L21" s="7" t="str">
        <f aca="false">IF(AND(ISNUMBER(F21),ISNUMBER(G21),F21&lt;&gt;0),G21/F21,"")</f>
        <v/>
      </c>
      <c r="M21" s="5" t="s">
        <v>111</v>
      </c>
      <c r="N21" s="5" t="s">
        <v>83</v>
      </c>
    </row>
    <row r="22" customFormat="false" ht="23.85" hidden="false" customHeight="false" outlineLevel="0" collapsed="false">
      <c r="A22" s="5" t="n">
        <v>21</v>
      </c>
      <c r="B22" s="5" t="s">
        <v>44</v>
      </c>
      <c r="C22" s="5" t="s">
        <v>112</v>
      </c>
      <c r="D22" s="5" t="s">
        <v>113</v>
      </c>
      <c r="E22" s="5" t="s">
        <v>46</v>
      </c>
      <c r="F22" s="6"/>
      <c r="G22" s="6" t="n">
        <v>5550</v>
      </c>
      <c r="H22" s="5" t="s">
        <v>47</v>
      </c>
      <c r="I22" s="5" t="s">
        <v>21</v>
      </c>
      <c r="J22" s="5" t="s">
        <v>10</v>
      </c>
      <c r="K22" s="6" t="str">
        <f aca="false">IF(AND(ISNUMBER(F22),ISNUMBER(G22)),G22-F22,"")</f>
        <v/>
      </c>
      <c r="L22" s="7" t="str">
        <f aca="false">IF(AND(ISNUMBER(F22),ISNUMBER(G22),F22&lt;&gt;0),G22/F22,"")</f>
        <v/>
      </c>
      <c r="M22" s="5" t="s">
        <v>114</v>
      </c>
      <c r="N22" s="5" t="s">
        <v>115</v>
      </c>
    </row>
    <row r="23" customFormat="false" ht="15" hidden="false" customHeight="false" outlineLevel="0" collapsed="false">
      <c r="A23" s="5" t="n">
        <v>22</v>
      </c>
      <c r="B23" s="5" t="s">
        <v>44</v>
      </c>
      <c r="C23" s="5" t="s">
        <v>112</v>
      </c>
      <c r="D23" s="5" t="s">
        <v>113</v>
      </c>
      <c r="E23" s="5" t="s">
        <v>104</v>
      </c>
      <c r="F23" s="6"/>
      <c r="G23" s="6" t="n">
        <v>3.75</v>
      </c>
      <c r="H23" s="5" t="s">
        <v>105</v>
      </c>
      <c r="I23" s="5" t="s">
        <v>21</v>
      </c>
      <c r="J23" s="5" t="s">
        <v>11</v>
      </c>
      <c r="K23" s="6" t="str">
        <f aca="false">IF(AND(ISNUMBER(F23),ISNUMBER(G23)),G23-F23,"")</f>
        <v/>
      </c>
      <c r="L23" s="7" t="str">
        <f aca="false">IF(AND(ISNUMBER(F23),ISNUMBER(G23),F23&lt;&gt;0),G23/F23,"")</f>
        <v/>
      </c>
      <c r="M23" s="5" t="s">
        <v>116</v>
      </c>
      <c r="N23" s="5" t="s">
        <v>107</v>
      </c>
    </row>
    <row r="24" customFormat="false" ht="15" hidden="false" customHeight="false" outlineLevel="0" collapsed="false">
      <c r="A24" s="5" t="n">
        <v>23</v>
      </c>
      <c r="B24" s="5" t="s">
        <v>44</v>
      </c>
      <c r="C24" s="5" t="s">
        <v>112</v>
      </c>
      <c r="D24" s="5" t="s">
        <v>113</v>
      </c>
      <c r="E24" s="5" t="s">
        <v>93</v>
      </c>
      <c r="F24" s="6"/>
      <c r="G24" s="6"/>
      <c r="H24" s="5"/>
      <c r="I24" s="5" t="s">
        <v>15</v>
      </c>
      <c r="J24" s="5" t="s">
        <v>12</v>
      </c>
      <c r="K24" s="6" t="str">
        <f aca="false">IF(AND(ISNUMBER(F24),ISNUMBER(G24)),G24-F24,"")</f>
        <v/>
      </c>
      <c r="L24" s="7" t="str">
        <f aca="false">IF(AND(ISNUMBER(F24),ISNUMBER(G24),F24&lt;&gt;0),G24/F24,"")</f>
        <v/>
      </c>
      <c r="M24" s="5" t="s">
        <v>117</v>
      </c>
      <c r="N24" s="5" t="s">
        <v>83</v>
      </c>
    </row>
  </sheetData>
  <autoFilter ref="A1:N24"/>
  <conditionalFormatting sqref="J2:J24">
    <cfRule type="expression" priority="2" aboveAverage="0" equalAverage="0" bottom="0" percent="0" rank="0" text="" dxfId="6">
      <formula>$J2="High"</formula>
    </cfRule>
    <cfRule type="expression" priority="3" aboveAverage="0" equalAverage="0" bottom="0" percent="0" rank="0" text="" dxfId="7">
      <formula>$J2="Medium"</formula>
    </cfRule>
    <cfRule type="expression" priority="4" aboveAverage="0" equalAverage="0" bottom="0" percent="0" rank="0" text="" dxfId="8">
      <formula>$J2="Low"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24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40"/>
    <col collapsed="false" customWidth="true" hidden="false" outlineLevel="0" max="10" min="10" style="0" width="15"/>
  </cols>
  <sheetData>
    <row r="1" customFormat="false" ht="26.85" hidden="false" customHeight="false" outlineLevel="0" collapsed="false">
      <c r="A1" s="4" t="s">
        <v>16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118</v>
      </c>
      <c r="G1" s="4" t="s">
        <v>37</v>
      </c>
      <c r="H1" s="4" t="s">
        <v>36</v>
      </c>
      <c r="I1" s="4" t="s">
        <v>119</v>
      </c>
      <c r="J1" s="4" t="s">
        <v>40</v>
      </c>
    </row>
    <row r="2" customFormat="false" ht="15" hidden="false" customHeight="false" outlineLevel="0" collapsed="false">
      <c r="A2" s="8" t="s">
        <v>44</v>
      </c>
      <c r="B2" s="8" t="s">
        <v>120</v>
      </c>
      <c r="C2" s="8" t="s">
        <v>121</v>
      </c>
      <c r="D2" s="8" t="s">
        <v>50</v>
      </c>
      <c r="E2" s="9" t="n">
        <v>374.52</v>
      </c>
      <c r="F2" s="8" t="s">
        <v>121</v>
      </c>
      <c r="G2" s="8" t="s">
        <v>105</v>
      </c>
      <c r="H2" s="9" t="n">
        <v>374.52</v>
      </c>
      <c r="I2" s="8" t="s">
        <v>28</v>
      </c>
      <c r="J2" s="9" t="n">
        <f aca="false">IF(AND(ISNUMBER(E2),ISNUMBER(H2)),H2-E2,"")</f>
        <v>0</v>
      </c>
    </row>
    <row r="3" customFormat="false" ht="15" hidden="false" customHeight="false" outlineLevel="0" collapsed="false">
      <c r="A3" s="8" t="s">
        <v>44</v>
      </c>
      <c r="B3" s="8" t="s">
        <v>122</v>
      </c>
      <c r="C3" s="8" t="s">
        <v>123</v>
      </c>
      <c r="D3" s="8" t="s">
        <v>50</v>
      </c>
      <c r="E3" s="9" t="n">
        <v>107.853</v>
      </c>
      <c r="F3" s="8" t="s">
        <v>123</v>
      </c>
      <c r="G3" s="8" t="s">
        <v>105</v>
      </c>
      <c r="H3" s="9" t="n">
        <v>107.853</v>
      </c>
      <c r="I3" s="8" t="s">
        <v>28</v>
      </c>
      <c r="J3" s="9" t="n">
        <f aca="false">IF(AND(ISNUMBER(E3),ISNUMBER(H3)),H3-E3,"")</f>
        <v>0</v>
      </c>
    </row>
    <row r="4" customFormat="false" ht="15" hidden="false" customHeight="false" outlineLevel="0" collapsed="false">
      <c r="A4" s="8" t="s">
        <v>44</v>
      </c>
      <c r="B4" s="8" t="s">
        <v>45</v>
      </c>
      <c r="C4" s="8" t="s">
        <v>45</v>
      </c>
      <c r="D4" s="8" t="s">
        <v>46</v>
      </c>
      <c r="E4" s="9" t="n">
        <v>35006.289</v>
      </c>
      <c r="F4" s="8"/>
      <c r="G4" s="8"/>
      <c r="H4" s="9"/>
      <c r="I4" s="8" t="s">
        <v>18</v>
      </c>
      <c r="J4" s="9" t="str">
        <f aca="false">IF(AND(ISNUMBER(E4),ISNUMBER(H4)),H4-E4,"")</f>
        <v/>
      </c>
    </row>
    <row r="5" customFormat="false" ht="15" hidden="false" customHeight="false" outlineLevel="0" collapsed="false">
      <c r="A5" s="8" t="s">
        <v>44</v>
      </c>
      <c r="B5" s="8" t="s">
        <v>45</v>
      </c>
      <c r="C5" s="8" t="s">
        <v>45</v>
      </c>
      <c r="D5" s="8" t="s">
        <v>50</v>
      </c>
      <c r="E5" s="9" t="n">
        <v>483753</v>
      </c>
      <c r="F5" s="8"/>
      <c r="G5" s="8"/>
      <c r="H5" s="9"/>
      <c r="I5" s="8" t="s">
        <v>18</v>
      </c>
      <c r="J5" s="9" t="str">
        <f aca="false">IF(AND(ISNUMBER(E5),ISNUMBER(H5)),H5-E5,"")</f>
        <v/>
      </c>
    </row>
    <row r="6" customFormat="false" ht="15" hidden="false" customHeight="false" outlineLevel="0" collapsed="false">
      <c r="A6" s="8" t="s">
        <v>57</v>
      </c>
      <c r="B6" s="8" t="s">
        <v>58</v>
      </c>
      <c r="C6" s="8" t="s">
        <v>59</v>
      </c>
      <c r="D6" s="8" t="s">
        <v>46</v>
      </c>
      <c r="E6" s="9" t="n">
        <v>22207.07</v>
      </c>
      <c r="F6" s="8"/>
      <c r="G6" s="8"/>
      <c r="H6" s="9"/>
      <c r="I6" s="8" t="s">
        <v>18</v>
      </c>
      <c r="J6" s="9" t="str">
        <f aca="false">IF(AND(ISNUMBER(E6),ISNUMBER(H6)),H6-E6,"")</f>
        <v/>
      </c>
    </row>
    <row r="7" customFormat="false" ht="15" hidden="false" customHeight="false" outlineLevel="0" collapsed="false">
      <c r="A7" s="8" t="s">
        <v>57</v>
      </c>
      <c r="B7" s="8" t="s">
        <v>58</v>
      </c>
      <c r="C7" s="8" t="s">
        <v>59</v>
      </c>
      <c r="D7" s="8" t="s">
        <v>50</v>
      </c>
      <c r="E7" s="9" t="n">
        <v>188920</v>
      </c>
      <c r="F7" s="8"/>
      <c r="G7" s="8"/>
      <c r="H7" s="9"/>
      <c r="I7" s="8" t="s">
        <v>18</v>
      </c>
      <c r="J7" s="9" t="str">
        <f aca="false">IF(AND(ISNUMBER(E7),ISNUMBER(H7)),H7-E7,"")</f>
        <v/>
      </c>
    </row>
    <row r="8" customFormat="false" ht="15" hidden="false" customHeight="false" outlineLevel="0" collapsed="false">
      <c r="A8" s="8" t="s">
        <v>44</v>
      </c>
      <c r="B8" s="8" t="s">
        <v>68</v>
      </c>
      <c r="C8" s="8" t="s">
        <v>69</v>
      </c>
      <c r="D8" s="8" t="s">
        <v>46</v>
      </c>
      <c r="E8" s="9" t="n">
        <v>82</v>
      </c>
      <c r="F8" s="8" t="s">
        <v>69</v>
      </c>
      <c r="G8" s="8" t="s">
        <v>47</v>
      </c>
      <c r="H8" s="9" t="n">
        <v>82</v>
      </c>
      <c r="I8" s="8" t="s">
        <v>28</v>
      </c>
      <c r="J8" s="9" t="n">
        <f aca="false">IF(AND(ISNUMBER(E8),ISNUMBER(H8)),H8-E8,"")</f>
        <v>0</v>
      </c>
    </row>
    <row r="9" customFormat="false" ht="15" hidden="false" customHeight="false" outlineLevel="0" collapsed="false">
      <c r="A9" s="8" t="s">
        <v>44</v>
      </c>
      <c r="B9" s="8" t="s">
        <v>68</v>
      </c>
      <c r="C9" s="8" t="s">
        <v>69</v>
      </c>
      <c r="D9" s="8" t="s">
        <v>90</v>
      </c>
      <c r="E9" s="9"/>
      <c r="F9" s="8" t="s">
        <v>69</v>
      </c>
      <c r="G9" s="8" t="s">
        <v>47</v>
      </c>
      <c r="H9" s="9" t="n">
        <v>0</v>
      </c>
      <c r="I9" s="8" t="s">
        <v>29</v>
      </c>
      <c r="J9" s="9" t="str">
        <f aca="false">IF(AND(ISNUMBER(E9),ISNUMBER(H9)),H9-E9,"")</f>
        <v/>
      </c>
    </row>
    <row r="10" customFormat="false" ht="15" hidden="false" customHeight="false" outlineLevel="0" collapsed="false">
      <c r="A10" s="8" t="s">
        <v>44</v>
      </c>
      <c r="B10" s="8" t="s">
        <v>68</v>
      </c>
      <c r="C10" s="8" t="s">
        <v>69</v>
      </c>
      <c r="D10" s="8" t="s">
        <v>50</v>
      </c>
      <c r="E10" s="9" t="n">
        <v>0.66</v>
      </c>
      <c r="F10" s="8" t="s">
        <v>69</v>
      </c>
      <c r="G10" s="8" t="s">
        <v>62</v>
      </c>
      <c r="H10" s="9" t="n">
        <v>660</v>
      </c>
      <c r="I10" s="8" t="s">
        <v>23</v>
      </c>
      <c r="J10" s="9" t="n">
        <f aca="false">IF(AND(ISNUMBER(E10),ISNUMBER(H10)),H10-E10,"")</f>
        <v>659.34</v>
      </c>
    </row>
    <row r="11" customFormat="false" ht="15" hidden="false" customHeight="false" outlineLevel="0" collapsed="false">
      <c r="A11" s="8" t="s">
        <v>44</v>
      </c>
      <c r="B11" s="8" t="s">
        <v>68</v>
      </c>
      <c r="C11" s="8" t="s">
        <v>124</v>
      </c>
      <c r="D11" s="8" t="s">
        <v>46</v>
      </c>
      <c r="E11" s="9"/>
      <c r="F11" s="8" t="s">
        <v>124</v>
      </c>
      <c r="G11" s="8" t="s">
        <v>47</v>
      </c>
      <c r="H11" s="9" t="n">
        <v>0</v>
      </c>
      <c r="I11" s="8" t="s">
        <v>29</v>
      </c>
      <c r="J11" s="9" t="str">
        <f aca="false">IF(AND(ISNUMBER(E11),ISNUMBER(H11)),H11-E11,"")</f>
        <v/>
      </c>
    </row>
    <row r="12" customFormat="false" ht="15" hidden="false" customHeight="false" outlineLevel="0" collapsed="false">
      <c r="A12" s="8" t="s">
        <v>44</v>
      </c>
      <c r="B12" s="8" t="s">
        <v>68</v>
      </c>
      <c r="C12" s="8" t="s">
        <v>124</v>
      </c>
      <c r="D12" s="8" t="s">
        <v>90</v>
      </c>
      <c r="E12" s="9"/>
      <c r="F12" s="8" t="s">
        <v>124</v>
      </c>
      <c r="G12" s="8" t="s">
        <v>47</v>
      </c>
      <c r="H12" s="9" t="n">
        <v>0</v>
      </c>
      <c r="I12" s="8" t="s">
        <v>29</v>
      </c>
      <c r="J12" s="9" t="str">
        <f aca="false">IF(AND(ISNUMBER(E12),ISNUMBER(H12)),H12-E12,"")</f>
        <v/>
      </c>
    </row>
    <row r="13" customFormat="false" ht="15" hidden="false" customHeight="false" outlineLevel="0" collapsed="false">
      <c r="A13" s="8" t="s">
        <v>44</v>
      </c>
      <c r="B13" s="8" t="s">
        <v>68</v>
      </c>
      <c r="C13" s="8" t="s">
        <v>124</v>
      </c>
      <c r="D13" s="8" t="s">
        <v>50</v>
      </c>
      <c r="E13" s="9"/>
      <c r="F13" s="8" t="s">
        <v>124</v>
      </c>
      <c r="G13" s="8" t="s">
        <v>62</v>
      </c>
      <c r="H13" s="9" t="n">
        <v>0</v>
      </c>
      <c r="I13" s="8" t="s">
        <v>29</v>
      </c>
      <c r="J13" s="9" t="str">
        <f aca="false">IF(AND(ISNUMBER(E13),ISNUMBER(H13)),H13-E13,"")</f>
        <v/>
      </c>
    </row>
    <row r="14" customFormat="false" ht="15" hidden="false" customHeight="false" outlineLevel="0" collapsed="false">
      <c r="A14" s="8" t="s">
        <v>44</v>
      </c>
      <c r="B14" s="8" t="s">
        <v>68</v>
      </c>
      <c r="C14" s="8" t="s">
        <v>72</v>
      </c>
      <c r="D14" s="8" t="s">
        <v>46</v>
      </c>
      <c r="E14" s="9" t="n">
        <v>267</v>
      </c>
      <c r="F14" s="8" t="s">
        <v>72</v>
      </c>
      <c r="G14" s="8" t="s">
        <v>47</v>
      </c>
      <c r="H14" s="9" t="n">
        <v>267</v>
      </c>
      <c r="I14" s="8" t="s">
        <v>28</v>
      </c>
      <c r="J14" s="9" t="n">
        <f aca="false">IF(AND(ISNUMBER(E14),ISNUMBER(H14)),H14-E14,"")</f>
        <v>0</v>
      </c>
    </row>
    <row r="15" customFormat="false" ht="15" hidden="false" customHeight="false" outlineLevel="0" collapsed="false">
      <c r="A15" s="8" t="s">
        <v>44</v>
      </c>
      <c r="B15" s="8" t="s">
        <v>68</v>
      </c>
      <c r="C15" s="8" t="s">
        <v>72</v>
      </c>
      <c r="D15" s="8" t="s">
        <v>90</v>
      </c>
      <c r="E15" s="9"/>
      <c r="F15" s="8" t="s">
        <v>72</v>
      </c>
      <c r="G15" s="8" t="s">
        <v>47</v>
      </c>
      <c r="H15" s="9" t="n">
        <v>0</v>
      </c>
      <c r="I15" s="8" t="s">
        <v>29</v>
      </c>
      <c r="J15" s="9" t="str">
        <f aca="false">IF(AND(ISNUMBER(E15),ISNUMBER(H15)),H15-E15,"")</f>
        <v/>
      </c>
    </row>
    <row r="16" customFormat="false" ht="15" hidden="false" customHeight="false" outlineLevel="0" collapsed="false">
      <c r="A16" s="8" t="s">
        <v>44</v>
      </c>
      <c r="B16" s="8" t="s">
        <v>68</v>
      </c>
      <c r="C16" s="8" t="s">
        <v>72</v>
      </c>
      <c r="D16" s="8" t="s">
        <v>50</v>
      </c>
      <c r="E16" s="9" t="n">
        <v>9.02</v>
      </c>
      <c r="F16" s="8" t="s">
        <v>125</v>
      </c>
      <c r="G16" s="8" t="s">
        <v>62</v>
      </c>
      <c r="H16" s="9" t="n">
        <v>9020</v>
      </c>
      <c r="I16" s="8" t="s">
        <v>126</v>
      </c>
      <c r="J16" s="9" t="n">
        <f aca="false">IF(AND(ISNUMBER(E16),ISNUMBER(H16)),H16-E16,"")</f>
        <v>9010.98</v>
      </c>
    </row>
    <row r="17" customFormat="false" ht="15" hidden="false" customHeight="false" outlineLevel="0" collapsed="false">
      <c r="A17" s="8" t="s">
        <v>44</v>
      </c>
      <c r="B17" s="8" t="s">
        <v>68</v>
      </c>
      <c r="C17" s="8" t="s">
        <v>127</v>
      </c>
      <c r="D17" s="8" t="s">
        <v>46</v>
      </c>
      <c r="E17" s="9"/>
      <c r="F17" s="8" t="s">
        <v>127</v>
      </c>
      <c r="G17" s="8" t="s">
        <v>47</v>
      </c>
      <c r="H17" s="9" t="n">
        <v>0</v>
      </c>
      <c r="I17" s="8" t="s">
        <v>29</v>
      </c>
      <c r="J17" s="9" t="str">
        <f aca="false">IF(AND(ISNUMBER(E17),ISNUMBER(H17)),H17-E17,"")</f>
        <v/>
      </c>
    </row>
    <row r="18" customFormat="false" ht="15" hidden="false" customHeight="false" outlineLevel="0" collapsed="false">
      <c r="A18" s="8" t="s">
        <v>44</v>
      </c>
      <c r="B18" s="8" t="s">
        <v>68</v>
      </c>
      <c r="C18" s="8" t="s">
        <v>127</v>
      </c>
      <c r="D18" s="8" t="s">
        <v>90</v>
      </c>
      <c r="E18" s="9"/>
      <c r="F18" s="8" t="s">
        <v>127</v>
      </c>
      <c r="G18" s="8" t="s">
        <v>47</v>
      </c>
      <c r="H18" s="9" t="n">
        <v>0</v>
      </c>
      <c r="I18" s="8" t="s">
        <v>29</v>
      </c>
      <c r="J18" s="9" t="str">
        <f aca="false">IF(AND(ISNUMBER(E18),ISNUMBER(H18)),H18-E18,"")</f>
        <v/>
      </c>
    </row>
    <row r="19" customFormat="false" ht="15" hidden="false" customHeight="false" outlineLevel="0" collapsed="false">
      <c r="A19" s="8" t="s">
        <v>44</v>
      </c>
      <c r="B19" s="8" t="s">
        <v>68</v>
      </c>
      <c r="C19" s="8" t="s">
        <v>75</v>
      </c>
      <c r="D19" s="8" t="s">
        <v>46</v>
      </c>
      <c r="E19" s="9" t="n">
        <v>904</v>
      </c>
      <c r="F19" s="8" t="s">
        <v>75</v>
      </c>
      <c r="G19" s="8" t="s">
        <v>47</v>
      </c>
      <c r="H19" s="9" t="n">
        <v>904</v>
      </c>
      <c r="I19" s="8" t="s">
        <v>28</v>
      </c>
      <c r="J19" s="9" t="n">
        <f aca="false">IF(AND(ISNUMBER(E19),ISNUMBER(H19)),H19-E19,"")</f>
        <v>0</v>
      </c>
    </row>
    <row r="20" customFormat="false" ht="15" hidden="false" customHeight="false" outlineLevel="0" collapsed="false">
      <c r="A20" s="8" t="s">
        <v>44</v>
      </c>
      <c r="B20" s="8" t="s">
        <v>68</v>
      </c>
      <c r="C20" s="8" t="s">
        <v>75</v>
      </c>
      <c r="D20" s="8" t="s">
        <v>90</v>
      </c>
      <c r="E20" s="9"/>
      <c r="F20" s="8" t="s">
        <v>75</v>
      </c>
      <c r="G20" s="8" t="s">
        <v>47</v>
      </c>
      <c r="H20" s="9" t="n">
        <v>0</v>
      </c>
      <c r="I20" s="8" t="s">
        <v>29</v>
      </c>
      <c r="J20" s="9" t="str">
        <f aca="false">IF(AND(ISNUMBER(E20),ISNUMBER(H20)),H20-E20,"")</f>
        <v/>
      </c>
    </row>
    <row r="21" customFormat="false" ht="15" hidden="false" customHeight="false" outlineLevel="0" collapsed="false">
      <c r="A21" s="8" t="s">
        <v>44</v>
      </c>
      <c r="B21" s="8" t="s">
        <v>68</v>
      </c>
      <c r="C21" s="8" t="s">
        <v>75</v>
      </c>
      <c r="D21" s="8" t="s">
        <v>50</v>
      </c>
      <c r="E21" s="9" t="n">
        <v>234.469</v>
      </c>
      <c r="F21" s="8" t="s">
        <v>75</v>
      </c>
      <c r="G21" s="8" t="s">
        <v>62</v>
      </c>
      <c r="H21" s="9" t="n">
        <v>234469</v>
      </c>
      <c r="I21" s="8" t="s">
        <v>23</v>
      </c>
      <c r="J21" s="9" t="n">
        <f aca="false">IF(AND(ISNUMBER(E21),ISNUMBER(H21)),H21-E21,"")</f>
        <v>234234.531</v>
      </c>
    </row>
    <row r="22" customFormat="false" ht="15" hidden="false" customHeight="false" outlineLevel="0" collapsed="false">
      <c r="A22" s="8" t="s">
        <v>44</v>
      </c>
      <c r="B22" s="8" t="s">
        <v>68</v>
      </c>
      <c r="C22" s="8" t="s">
        <v>128</v>
      </c>
      <c r="D22" s="8" t="s">
        <v>46</v>
      </c>
      <c r="E22" s="9" t="n">
        <v>553</v>
      </c>
      <c r="F22" s="8" t="s">
        <v>128</v>
      </c>
      <c r="G22" s="8" t="s">
        <v>47</v>
      </c>
      <c r="H22" s="9" t="n">
        <v>553</v>
      </c>
      <c r="I22" s="8" t="s">
        <v>28</v>
      </c>
      <c r="J22" s="9" t="n">
        <f aca="false">IF(AND(ISNUMBER(E22),ISNUMBER(H22)),H22-E22,"")</f>
        <v>0</v>
      </c>
    </row>
    <row r="23" customFormat="false" ht="15" hidden="false" customHeight="false" outlineLevel="0" collapsed="false">
      <c r="A23" s="8" t="s">
        <v>44</v>
      </c>
      <c r="B23" s="8" t="s">
        <v>68</v>
      </c>
      <c r="C23" s="8" t="s">
        <v>128</v>
      </c>
      <c r="D23" s="8" t="s">
        <v>90</v>
      </c>
      <c r="E23" s="9"/>
      <c r="F23" s="8" t="s">
        <v>128</v>
      </c>
      <c r="G23" s="8" t="s">
        <v>47</v>
      </c>
      <c r="H23" s="9" t="n">
        <v>0</v>
      </c>
      <c r="I23" s="8" t="s">
        <v>29</v>
      </c>
      <c r="J23" s="9" t="str">
        <f aca="false">IF(AND(ISNUMBER(E23),ISNUMBER(H23)),H23-E23,"")</f>
        <v/>
      </c>
    </row>
    <row r="24" customFormat="false" ht="15" hidden="false" customHeight="false" outlineLevel="0" collapsed="false">
      <c r="A24" s="8" t="s">
        <v>44</v>
      </c>
      <c r="B24" s="8" t="s">
        <v>68</v>
      </c>
      <c r="C24" s="8" t="s">
        <v>129</v>
      </c>
      <c r="D24" s="8" t="s">
        <v>46</v>
      </c>
      <c r="E24" s="9"/>
      <c r="F24" s="8" t="s">
        <v>129</v>
      </c>
      <c r="G24" s="8" t="s">
        <v>47</v>
      </c>
      <c r="H24" s="9" t="n">
        <v>0</v>
      </c>
      <c r="I24" s="8" t="s">
        <v>29</v>
      </c>
      <c r="J24" s="9" t="str">
        <f aca="false">IF(AND(ISNUMBER(E24),ISNUMBER(H24)),H24-E24,"")</f>
        <v/>
      </c>
    </row>
    <row r="25" customFormat="false" ht="15" hidden="false" customHeight="false" outlineLevel="0" collapsed="false">
      <c r="A25" s="8" t="s">
        <v>44</v>
      </c>
      <c r="B25" s="8" t="s">
        <v>68</v>
      </c>
      <c r="C25" s="8" t="s">
        <v>129</v>
      </c>
      <c r="D25" s="8" t="s">
        <v>90</v>
      </c>
      <c r="E25" s="9"/>
      <c r="F25" s="8" t="s">
        <v>129</v>
      </c>
      <c r="G25" s="8" t="s">
        <v>47</v>
      </c>
      <c r="H25" s="9" t="n">
        <v>0</v>
      </c>
      <c r="I25" s="8" t="s">
        <v>29</v>
      </c>
      <c r="J25" s="9" t="str">
        <f aca="false">IF(AND(ISNUMBER(E25),ISNUMBER(H25)),H25-E25,"")</f>
        <v/>
      </c>
    </row>
    <row r="26" customFormat="false" ht="15" hidden="false" customHeight="false" outlineLevel="0" collapsed="false">
      <c r="A26" s="8" t="s">
        <v>44</v>
      </c>
      <c r="B26" s="8" t="s">
        <v>130</v>
      </c>
      <c r="C26" s="8" t="s">
        <v>131</v>
      </c>
      <c r="D26" s="8" t="s">
        <v>46</v>
      </c>
      <c r="E26" s="9" t="n">
        <v>450020</v>
      </c>
      <c r="F26" s="8" t="s">
        <v>131</v>
      </c>
      <c r="G26" s="8" t="s">
        <v>47</v>
      </c>
      <c r="H26" s="9" t="n">
        <v>450020</v>
      </c>
      <c r="I26" s="8" t="s">
        <v>28</v>
      </c>
      <c r="J26" s="9" t="n">
        <f aca="false">IF(AND(ISNUMBER(E26),ISNUMBER(H26)),H26-E26,"")</f>
        <v>0</v>
      </c>
    </row>
    <row r="27" customFormat="false" ht="15" hidden="false" customHeight="false" outlineLevel="0" collapsed="false">
      <c r="A27" s="8" t="s">
        <v>44</v>
      </c>
      <c r="B27" s="8" t="s">
        <v>100</v>
      </c>
      <c r="C27" s="8" t="s">
        <v>101</v>
      </c>
      <c r="D27" s="8" t="s">
        <v>46</v>
      </c>
      <c r="E27" s="9" t="n">
        <v>7.105</v>
      </c>
      <c r="F27" s="8" t="s">
        <v>101</v>
      </c>
      <c r="G27" s="8" t="s">
        <v>47</v>
      </c>
      <c r="H27" s="9" t="n">
        <v>7105</v>
      </c>
      <c r="I27" s="8" t="s">
        <v>23</v>
      </c>
      <c r="J27" s="9" t="n">
        <f aca="false">IF(AND(ISNUMBER(E27),ISNUMBER(H27)),H27-E27,"")</f>
        <v>7097.895</v>
      </c>
    </row>
    <row r="28" customFormat="false" ht="15" hidden="false" customHeight="false" outlineLevel="0" collapsed="false">
      <c r="A28" s="8" t="s">
        <v>44</v>
      </c>
      <c r="B28" s="8" t="s">
        <v>100</v>
      </c>
      <c r="C28" s="8" t="s">
        <v>101</v>
      </c>
      <c r="D28" s="8" t="s">
        <v>50</v>
      </c>
      <c r="E28" s="9" t="n">
        <v>6.87</v>
      </c>
      <c r="F28" s="8" t="s">
        <v>101</v>
      </c>
      <c r="G28" s="8" t="s">
        <v>105</v>
      </c>
      <c r="H28" s="9" t="n">
        <v>6.87</v>
      </c>
      <c r="I28" s="8" t="s">
        <v>28</v>
      </c>
      <c r="J28" s="9" t="n">
        <f aca="false">IF(AND(ISNUMBER(E28),ISNUMBER(H28)),H28-E28,"")</f>
        <v>0</v>
      </c>
    </row>
    <row r="29" customFormat="false" ht="15" hidden="false" customHeight="false" outlineLevel="0" collapsed="false">
      <c r="A29" s="8" t="s">
        <v>44</v>
      </c>
      <c r="B29" s="8" t="s">
        <v>100</v>
      </c>
      <c r="C29" s="8" t="s">
        <v>101</v>
      </c>
      <c r="D29" s="8" t="s">
        <v>104</v>
      </c>
      <c r="E29" s="9"/>
      <c r="F29" s="8" t="s">
        <v>101</v>
      </c>
      <c r="G29" s="8" t="s">
        <v>105</v>
      </c>
      <c r="H29" s="9" t="n">
        <v>6.67</v>
      </c>
      <c r="I29" s="8" t="s">
        <v>21</v>
      </c>
      <c r="J29" s="9" t="str">
        <f aca="false">IF(AND(ISNUMBER(E29),ISNUMBER(H29)),H29-E29,"")</f>
        <v/>
      </c>
    </row>
    <row r="30" customFormat="false" ht="15" hidden="false" customHeight="false" outlineLevel="0" collapsed="false">
      <c r="A30" s="8" t="s">
        <v>44</v>
      </c>
      <c r="B30" s="8" t="s">
        <v>100</v>
      </c>
      <c r="C30" s="8" t="s">
        <v>101</v>
      </c>
      <c r="D30" s="8" t="s">
        <v>108</v>
      </c>
      <c r="E30" s="9"/>
      <c r="F30" s="8" t="s">
        <v>101</v>
      </c>
      <c r="G30" s="8" t="s">
        <v>105</v>
      </c>
      <c r="H30" s="9" t="n">
        <v>0.2</v>
      </c>
      <c r="I30" s="8" t="s">
        <v>21</v>
      </c>
      <c r="J30" s="9" t="str">
        <f aca="false">IF(AND(ISNUMBER(E30),ISNUMBER(H30)),H30-E30,"")</f>
        <v/>
      </c>
    </row>
    <row r="31" customFormat="false" ht="15" hidden="false" customHeight="false" outlineLevel="0" collapsed="false">
      <c r="A31" s="8" t="s">
        <v>44</v>
      </c>
      <c r="B31" s="8" t="s">
        <v>112</v>
      </c>
      <c r="C31" s="8" t="s">
        <v>113</v>
      </c>
      <c r="D31" s="8" t="s">
        <v>46</v>
      </c>
      <c r="E31" s="9"/>
      <c r="F31" s="8" t="s">
        <v>113</v>
      </c>
      <c r="G31" s="8" t="s">
        <v>47</v>
      </c>
      <c r="H31" s="9" t="n">
        <v>5550</v>
      </c>
      <c r="I31" s="8" t="s">
        <v>21</v>
      </c>
      <c r="J31" s="9" t="str">
        <f aca="false">IF(AND(ISNUMBER(E31),ISNUMBER(H31)),H31-E31,"")</f>
        <v/>
      </c>
    </row>
    <row r="32" customFormat="false" ht="15" hidden="false" customHeight="false" outlineLevel="0" collapsed="false">
      <c r="A32" s="8" t="s">
        <v>44</v>
      </c>
      <c r="B32" s="8" t="s">
        <v>112</v>
      </c>
      <c r="C32" s="8" t="s">
        <v>113</v>
      </c>
      <c r="D32" s="8" t="s">
        <v>90</v>
      </c>
      <c r="E32" s="9"/>
      <c r="F32" s="8" t="s">
        <v>113</v>
      </c>
      <c r="G32" s="8" t="s">
        <v>47</v>
      </c>
      <c r="H32" s="9" t="n">
        <v>0</v>
      </c>
      <c r="I32" s="8" t="s">
        <v>29</v>
      </c>
      <c r="J32" s="9" t="str">
        <f aca="false">IF(AND(ISNUMBER(E32),ISNUMBER(H32)),H32-E32,"")</f>
        <v/>
      </c>
    </row>
    <row r="33" customFormat="false" ht="15" hidden="false" customHeight="false" outlineLevel="0" collapsed="false">
      <c r="A33" s="8" t="s">
        <v>44</v>
      </c>
      <c r="B33" s="8" t="s">
        <v>112</v>
      </c>
      <c r="C33" s="8" t="s">
        <v>113</v>
      </c>
      <c r="D33" s="8" t="s">
        <v>50</v>
      </c>
      <c r="E33" s="9" t="n">
        <v>3.75</v>
      </c>
      <c r="F33" s="8" t="s">
        <v>113</v>
      </c>
      <c r="G33" s="8" t="s">
        <v>105</v>
      </c>
      <c r="H33" s="9" t="n">
        <v>3.75</v>
      </c>
      <c r="I33" s="8" t="s">
        <v>28</v>
      </c>
      <c r="J33" s="9" t="n">
        <f aca="false">IF(AND(ISNUMBER(E33),ISNUMBER(H33)),H33-E33,"")</f>
        <v>0</v>
      </c>
    </row>
    <row r="34" customFormat="false" ht="15" hidden="false" customHeight="false" outlineLevel="0" collapsed="false">
      <c r="A34" s="8" t="s">
        <v>44</v>
      </c>
      <c r="B34" s="8" t="s">
        <v>112</v>
      </c>
      <c r="C34" s="8" t="s">
        <v>113</v>
      </c>
      <c r="D34" s="8" t="s">
        <v>104</v>
      </c>
      <c r="E34" s="9"/>
      <c r="F34" s="8" t="s">
        <v>113</v>
      </c>
      <c r="G34" s="8" t="s">
        <v>105</v>
      </c>
      <c r="H34" s="9" t="n">
        <v>3.75</v>
      </c>
      <c r="I34" s="8" t="s">
        <v>21</v>
      </c>
      <c r="J34" s="9" t="str">
        <f aca="false">IF(AND(ISNUMBER(E34),ISNUMBER(H34)),H34-E34,"")</f>
        <v/>
      </c>
    </row>
    <row r="35" customFormat="false" ht="15" hidden="false" customHeight="false" outlineLevel="0" collapsed="false">
      <c r="A35" s="8" t="s">
        <v>44</v>
      </c>
      <c r="B35" s="8" t="s">
        <v>112</v>
      </c>
      <c r="C35" s="8" t="s">
        <v>113</v>
      </c>
      <c r="D35" s="8" t="s">
        <v>108</v>
      </c>
      <c r="E35" s="9"/>
      <c r="F35" s="8" t="s">
        <v>113</v>
      </c>
      <c r="G35" s="8" t="s">
        <v>105</v>
      </c>
      <c r="H35" s="9" t="n">
        <v>0</v>
      </c>
      <c r="I35" s="8" t="s">
        <v>29</v>
      </c>
      <c r="J35" s="9" t="str">
        <f aca="false">IF(AND(ISNUMBER(E35),ISNUMBER(H35)),H35-E35,"")</f>
        <v/>
      </c>
    </row>
    <row r="36" customFormat="false" ht="15" hidden="false" customHeight="false" outlineLevel="0" collapsed="false">
      <c r="A36" s="8" t="s">
        <v>44</v>
      </c>
      <c r="B36" s="8" t="s">
        <v>96</v>
      </c>
      <c r="C36" s="8" t="s">
        <v>97</v>
      </c>
      <c r="D36" s="8" t="s">
        <v>46</v>
      </c>
      <c r="E36" s="9" t="n">
        <v>15217.455</v>
      </c>
      <c r="F36" s="8"/>
      <c r="G36" s="8"/>
      <c r="H36" s="9"/>
      <c r="I36" s="8" t="s">
        <v>18</v>
      </c>
      <c r="J36" s="9" t="str">
        <f aca="false">IF(AND(ISNUMBER(E36),ISNUMBER(H36)),H36-E36,"")</f>
        <v/>
      </c>
    </row>
    <row r="37" customFormat="false" ht="15" hidden="false" customHeight="false" outlineLevel="0" collapsed="false">
      <c r="A37" s="8" t="s">
        <v>44</v>
      </c>
      <c r="B37" s="8" t="s">
        <v>84</v>
      </c>
      <c r="C37" s="8" t="s">
        <v>85</v>
      </c>
      <c r="D37" s="8" t="s">
        <v>46</v>
      </c>
      <c r="E37" s="9" t="n">
        <v>146657.28</v>
      </c>
      <c r="F37" s="8" t="s">
        <v>85</v>
      </c>
      <c r="G37" s="8" t="s">
        <v>47</v>
      </c>
      <c r="H37" s="9" t="n">
        <v>146657.3</v>
      </c>
      <c r="I37" s="8" t="s">
        <v>22</v>
      </c>
      <c r="J37" s="9" t="n">
        <f aca="false">IF(AND(ISNUMBER(E37),ISNUMBER(H37)),H37-E37,"")</f>
        <v>0.0199999999895226</v>
      </c>
    </row>
    <row r="38" customFormat="false" ht="15" hidden="false" customHeight="false" outlineLevel="0" collapsed="false">
      <c r="A38" s="8" t="s">
        <v>44</v>
      </c>
      <c r="B38" s="8" t="s">
        <v>84</v>
      </c>
      <c r="C38" s="8" t="s">
        <v>85</v>
      </c>
      <c r="D38" s="8" t="s">
        <v>90</v>
      </c>
      <c r="E38" s="9"/>
      <c r="F38" s="8" t="s">
        <v>85</v>
      </c>
      <c r="G38" s="8" t="s">
        <v>62</v>
      </c>
      <c r="H38" s="9" t="n">
        <v>282033</v>
      </c>
      <c r="I38" s="8" t="s">
        <v>21</v>
      </c>
      <c r="J38" s="9" t="str">
        <f aca="false">IF(AND(ISNUMBER(E38),ISNUMBER(H38)),H38-E38,"")</f>
        <v/>
      </c>
    </row>
    <row r="39" customFormat="false" ht="15" hidden="false" customHeight="false" outlineLevel="0" collapsed="false">
      <c r="A39" s="8" t="s">
        <v>44</v>
      </c>
      <c r="B39" s="8" t="s">
        <v>84</v>
      </c>
      <c r="C39" s="8" t="s">
        <v>85</v>
      </c>
      <c r="D39" s="8" t="s">
        <v>132</v>
      </c>
      <c r="E39" s="9"/>
      <c r="F39" s="8" t="s">
        <v>85</v>
      </c>
      <c r="G39" s="8" t="s">
        <v>62</v>
      </c>
      <c r="H39" s="9" t="n">
        <v>0</v>
      </c>
      <c r="I39" s="8" t="s">
        <v>29</v>
      </c>
      <c r="J39" s="9" t="str">
        <f aca="false">IF(AND(ISNUMBER(E39),ISNUMBER(H39)),H39-E39,"")</f>
        <v/>
      </c>
    </row>
    <row r="40" customFormat="false" ht="15" hidden="false" customHeight="false" outlineLevel="0" collapsed="false">
      <c r="A40" s="8" t="s">
        <v>44</v>
      </c>
      <c r="B40" s="8" t="s">
        <v>84</v>
      </c>
      <c r="C40" s="8" t="s">
        <v>85</v>
      </c>
      <c r="D40" s="8" t="s">
        <v>50</v>
      </c>
      <c r="E40" s="9" t="n">
        <v>10.735</v>
      </c>
      <c r="F40" s="8" t="s">
        <v>85</v>
      </c>
      <c r="G40" s="8" t="s">
        <v>62</v>
      </c>
      <c r="H40" s="9" t="n">
        <v>10735000</v>
      </c>
      <c r="I40" s="8" t="s">
        <v>26</v>
      </c>
      <c r="J40" s="9" t="n">
        <f aca="false">IF(AND(ISNUMBER(E40),ISNUMBER(H40)),H40-E40,"")</f>
        <v>10734989.265</v>
      </c>
    </row>
    <row r="41" customFormat="false" ht="15" hidden="false" customHeight="false" outlineLevel="0" collapsed="false">
      <c r="A41" s="8" t="s">
        <v>44</v>
      </c>
      <c r="B41" s="8" t="s">
        <v>68</v>
      </c>
      <c r="C41" s="8" t="s">
        <v>133</v>
      </c>
      <c r="D41" s="8" t="s">
        <v>46</v>
      </c>
      <c r="E41" s="9"/>
      <c r="F41" s="8" t="s">
        <v>81</v>
      </c>
      <c r="G41" s="8" t="s">
        <v>47</v>
      </c>
      <c r="H41" s="9" t="n">
        <v>0</v>
      </c>
      <c r="I41" s="8" t="s">
        <v>134</v>
      </c>
      <c r="J41" s="9" t="str">
        <f aca="false">IF(AND(ISNUMBER(E41),ISNUMBER(H41)),H41-E41,"")</f>
        <v/>
      </c>
    </row>
    <row r="42" customFormat="false" ht="15" hidden="false" customHeight="false" outlineLevel="0" collapsed="false">
      <c r="A42" s="8" t="s">
        <v>44</v>
      </c>
      <c r="B42" s="8" t="s">
        <v>68</v>
      </c>
      <c r="C42" s="8" t="s">
        <v>133</v>
      </c>
      <c r="D42" s="8" t="s">
        <v>90</v>
      </c>
      <c r="E42" s="9"/>
      <c r="F42" s="8" t="s">
        <v>81</v>
      </c>
      <c r="G42" s="8" t="s">
        <v>47</v>
      </c>
      <c r="H42" s="9" t="n">
        <v>0</v>
      </c>
      <c r="I42" s="8" t="s">
        <v>134</v>
      </c>
      <c r="J42" s="9" t="str">
        <f aca="false">IF(AND(ISNUMBER(E42),ISNUMBER(H42)),H42-E42,"")</f>
        <v/>
      </c>
    </row>
    <row r="43" customFormat="false" ht="15" hidden="false" customHeight="false" outlineLevel="0" collapsed="false">
      <c r="A43" s="8" t="s">
        <v>44</v>
      </c>
      <c r="B43" s="8" t="s">
        <v>68</v>
      </c>
      <c r="C43" s="8" t="s">
        <v>133</v>
      </c>
      <c r="D43" s="8" t="s">
        <v>50</v>
      </c>
      <c r="E43" s="9"/>
      <c r="F43" s="8" t="s">
        <v>81</v>
      </c>
      <c r="G43" s="8" t="s">
        <v>62</v>
      </c>
      <c r="H43" s="9" t="n">
        <v>0</v>
      </c>
      <c r="I43" s="8" t="s">
        <v>134</v>
      </c>
      <c r="J43" s="9" t="str">
        <f aca="false">IF(AND(ISNUMBER(E43),ISNUMBER(H43)),H43-E43,"")</f>
        <v/>
      </c>
    </row>
  </sheetData>
  <autoFilter ref="A1:J43"/>
  <conditionalFormatting sqref="I2:I43">
    <cfRule type="expression" priority="2" aboveAverage="0" equalAverage="0" bottom="0" percent="0" rank="0" text="" dxfId="8">
      <formula>LEFT($I2,5)="Match"</formula>
    </cfRule>
    <cfRule type="expression" priority="3" aboveAverage="0" equalAverage="0" bottom="0" percent="0" rank="0" text="" dxfId="8">
      <formula>LEFT($I2,2)="OK"</formula>
    </cfRule>
    <cfRule type="expression" priority="4" aboveAverage="0" equalAverage="0" bottom="0" percent="0" rank="0" text="" dxfId="6">
      <formula>OR(LEFT($I2,7)="Missing",LEFT($I2,3)="PRD")</formula>
    </cfRule>
    <cfRule type="expression" priority="5" aboveAverage="0" equalAverage="0" bottom="0" percent="0" rank="0" text="" dxfId="7">
      <formula>OR(LEFT($I2,5)="Scale",LEFT($I2,5)="Round",LEFT($I2,5)="Value")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5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4" t="s">
        <v>31</v>
      </c>
      <c r="B1" s="4" t="s">
        <v>135</v>
      </c>
      <c r="C1" s="4" t="s">
        <v>136</v>
      </c>
    </row>
    <row r="2" customFormat="false" ht="35.05" hidden="false" customHeight="false" outlineLevel="0" collapsed="false">
      <c r="A2" s="5" t="n">
        <v>1</v>
      </c>
      <c r="B2" s="5" t="s">
        <v>137</v>
      </c>
      <c r="C2" s="5" t="s">
        <v>138</v>
      </c>
    </row>
    <row r="3" customFormat="false" ht="23.85" hidden="false" customHeight="false" outlineLevel="0" collapsed="false">
      <c r="A3" s="5" t="n">
        <v>2</v>
      </c>
      <c r="B3" s="5" t="s">
        <v>139</v>
      </c>
      <c r="C3" s="5" t="s">
        <v>140</v>
      </c>
    </row>
    <row r="4" customFormat="false" ht="23.85" hidden="false" customHeight="false" outlineLevel="0" collapsed="false">
      <c r="A4" s="5" t="n">
        <v>3</v>
      </c>
      <c r="B4" s="5" t="s">
        <v>141</v>
      </c>
      <c r="C4" s="5" t="s">
        <v>142</v>
      </c>
    </row>
    <row r="5" customFormat="false" ht="15" hidden="false" customHeight="false" outlineLevel="0" collapsed="false">
      <c r="A5" s="5" t="n">
        <v>4</v>
      </c>
      <c r="B5" s="5" t="s">
        <v>143</v>
      </c>
      <c r="C5" s="5" t="s">
        <v>144</v>
      </c>
    </row>
    <row r="6" customFormat="false" ht="23.85" hidden="false" customHeight="false" outlineLevel="0" collapsed="false">
      <c r="A6" s="5" t="n">
        <v>5</v>
      </c>
      <c r="B6" s="5" t="s">
        <v>145</v>
      </c>
      <c r="C6" s="5" t="s">
        <v>146</v>
      </c>
    </row>
    <row r="7" customFormat="false" ht="15" hidden="false" customHeight="false" outlineLevel="0" collapsed="false">
      <c r="A7" s="5" t="n">
        <v>6</v>
      </c>
      <c r="B7" s="5" t="s">
        <v>147</v>
      </c>
      <c r="C7" s="5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2026-10-08T05:39:09Z</dcterms:created>
  <dc:creator>openpyxl</dc:creator>
  <dc:description/>
  <dc:language>en-US</dc:language>
  <cp:lastModifiedBy/>
  <dcterms:modified xsi:type="dcterms:W3CDTF">2026-10-08T05:39:09Z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
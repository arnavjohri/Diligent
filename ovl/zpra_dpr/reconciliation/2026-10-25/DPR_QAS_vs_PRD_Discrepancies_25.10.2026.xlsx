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QAS only" sheetId="4" state="visible" r:id="rId4"/>
    <sheet xmlns:r="http://schemas.openxmlformats.org/officeDocument/2006/relationships" name="Interface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s="1" t="inlineStr">
        <is>
          <t>DPR inbound reconciliation - QAS (interface, user SAP_ABAP) vs PRD (manual entry) - ZPRA_T_DLY_PRD</t>
        </is>
      </c>
    </row>
    <row r="3">
      <c r="A3" t="inlineStr">
        <is>
          <t>PRD extract</t>
        </is>
      </c>
      <c r="B3" t="inlineStr">
        <is>
          <t>ZPRA_T_DLY_PRD, production date 25.10.2026, 17 rows, created 26/27.10.2026 by asset users 94521 / 96029 / 105013 / 60749</t>
        </is>
      </c>
    </row>
    <row r="4">
      <c r="A4" t="inlineStr">
        <is>
          <t>QAS extract</t>
        </is>
      </c>
      <c r="B4" t="inlineStr">
        <is>
          <t>ZPRA_T_DLY_PRD, production date 25.10.2026, 32 rows, one interface run 26.10.2026 11:00:03 by SAP_ABAP</t>
        </is>
      </c>
    </row>
    <row r="5">
      <c r="A5" t="inlineStr">
        <is>
          <t>Compared</t>
        </is>
      </c>
      <c r="B5" t="inlineStr">
        <is>
          <t>Every PRD row looked up in QAS on asset / block / product / measure. QAS-only rows listed separately (nothing in PRD to compare).</t>
        </is>
      </c>
    </row>
    <row r="6">
      <c r="A6" t="inlineStr">
        <is>
          <t>Prepared</t>
        </is>
      </c>
      <c r="B6" t="inlineStr">
        <is>
          <t>27.10.2026</t>
        </is>
      </c>
    </row>
    <row r="8">
      <c r="A8" t="inlineStr">
        <is>
          <t>PRD rows</t>
        </is>
      </c>
      <c r="B8" t="n">
        <v>17</v>
      </c>
    </row>
    <row r="9">
      <c r="A9" t="inlineStr">
        <is>
          <t xml:space="preserve">  exact match</t>
        </is>
      </c>
      <c r="B9" t="n">
        <v>6</v>
      </c>
    </row>
    <row r="10">
      <c r="A10" t="inlineStr">
        <is>
          <t xml:space="preserve">  match within rounding</t>
        </is>
      </c>
      <c r="B10" t="n">
        <v>3</v>
      </c>
    </row>
    <row r="11">
      <c r="A11" t="inlineStr">
        <is>
          <t xml:space="preserve">  wrong value</t>
        </is>
      </c>
      <c r="B11" t="n">
        <v>2</v>
      </c>
    </row>
    <row r="12">
      <c r="A12" t="inlineStr">
        <is>
          <t xml:space="preserve">  missing in QAS (non-zero)</t>
        </is>
      </c>
      <c r="B12" t="n">
        <v>3</v>
      </c>
    </row>
    <row r="13">
      <c r="A13" t="inlineStr">
        <is>
          <t xml:space="preserve">  zero row not posted (by design)</t>
        </is>
      </c>
      <c r="B13" t="n">
        <v>3</v>
      </c>
    </row>
    <row r="14">
      <c r="A14" t="inlineStr">
        <is>
          <t>QAS-only rows (no PRD row to compare)</t>
        </is>
      </c>
      <c r="B14" t="n">
        <v>21</v>
      </c>
    </row>
    <row r="16">
      <c r="A16" s="1" t="inlineStr">
        <is>
          <t>By severity</t>
        </is>
      </c>
    </row>
    <row r="17">
      <c r="A17" t="inlineStr">
        <is>
          <t>High</t>
        </is>
      </c>
      <c r="B17">
        <f>COUNTIF(Discrepancies!$J:$J,A17)</f>
        <v/>
      </c>
    </row>
    <row r="18">
      <c r="A18" t="inlineStr">
        <is>
          <t>Medium</t>
        </is>
      </c>
      <c r="B18">
        <f>COUNTIF(Discrepancies!$J:$J,A18)</f>
        <v/>
      </c>
    </row>
    <row r="19">
      <c r="A19" t="inlineStr">
        <is>
          <t>Low</t>
        </is>
      </c>
      <c r="B19">
        <f>COUNTIF(Discrepancies!$J:$J,A19)</f>
        <v/>
      </c>
    </row>
    <row r="20">
      <c r="A20" t="inlineStr">
        <is>
          <t>Total</t>
        </is>
      </c>
      <c r="B20">
        <f>SUM(B17:B19)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9" customWidth="1" min="3" max="3"/>
    <col width="22" customWidth="1" min="4" max="4"/>
    <col width="12" customWidth="1" min="5" max="5"/>
    <col width="8" customWidth="1" min="6" max="6"/>
    <col width="14" customWidth="1" min="7" max="7"/>
    <col width="14" customWidth="1" min="8" max="8"/>
    <col width="30" customWidth="1" min="9" max="9"/>
    <col width="9" customWidth="1" min="10" max="10"/>
    <col width="80" customWidth="1" min="11" max="11"/>
    <col width="60" customWidth="1" min="12" max="12"/>
  </cols>
  <sheetData>
    <row r="1">
      <c r="A1" s="2" t="inlineStr">
        <is>
          <t>#</t>
        </is>
      </c>
      <c r="B1" s="2" t="inlineStr">
        <is>
          <t>Date</t>
        </is>
      </c>
      <c r="C1" s="2" t="inlineStr">
        <is>
          <t>Asset</t>
        </is>
      </c>
      <c r="D1" s="2" t="inlineStr">
        <is>
          <t>Block</t>
        </is>
      </c>
      <c r="E1" s="2" t="inlineStr">
        <is>
          <t>Measure</t>
        </is>
      </c>
      <c r="F1" s="2" t="inlineStr">
        <is>
          <t>PRD UoM</t>
        </is>
      </c>
      <c r="G1" s="2" t="inlineStr">
        <is>
          <t>PRD value</t>
        </is>
      </c>
      <c r="H1" s="2" t="inlineStr">
        <is>
          <t>QAS value</t>
        </is>
      </c>
      <c r="I1" s="2" t="inlineStr">
        <is>
          <t>Category</t>
        </is>
      </c>
      <c r="J1" s="2" t="inlineStr">
        <is>
          <t>Severity</t>
        </is>
      </c>
      <c r="K1" s="2" t="inlineStr">
        <is>
          <t>Observation</t>
        </is>
      </c>
      <c r="L1" s="2" t="inlineStr">
        <is>
          <t>Recommended action</t>
        </is>
      </c>
    </row>
    <row r="2">
      <c r="A2" s="3" t="n">
        <v>1</v>
      </c>
      <c r="B2" s="3" t="inlineStr">
        <is>
          <t>25.10.2026</t>
        </is>
      </c>
      <c r="C2" s="3" t="inlineStr">
        <is>
          <t>RUS_SK1</t>
        </is>
      </c>
      <c r="D2" s="3" t="inlineStr">
        <is>
          <t>RUS_SK1_CHAYVO</t>
        </is>
      </c>
      <c r="E2" s="3" t="inlineStr">
        <is>
          <t>WATER_INJ</t>
        </is>
      </c>
      <c r="F2" s="3" t="inlineStr">
        <is>
          <t>BBL</t>
        </is>
      </c>
      <c r="G2" s="3" t="n">
        <v>0</v>
      </c>
      <c r="H2" s="3" t="n"/>
      <c r="I2" s="3" t="inlineStr">
        <is>
          <t>Zero row not posted (by design)</t>
        </is>
      </c>
      <c r="J2" s="3" t="inlineStr">
        <is>
          <t>Low</t>
        </is>
      </c>
      <c r="K2" s="3" t="inlineStr">
        <is>
          <t>PRD books an explicit 0.000 row (manual). The class skips zero values since the 06/10/26 fix, so QAS has no row.</t>
        </is>
      </c>
      <c r="L2" s="3" t="inlineStr">
        <is>
          <t>Information only - agree with the DPR team whether explicit zero rows are wanted.</t>
        </is>
      </c>
    </row>
    <row r="3">
      <c r="A3" s="3" t="n">
        <v>2</v>
      </c>
      <c r="B3" s="3" t="inlineStr">
        <is>
          <t>25.10.2026</t>
        </is>
      </c>
      <c r="C3" s="3" t="inlineStr">
        <is>
          <t>RUS_SK1</t>
        </is>
      </c>
      <c r="D3" s="3" t="inlineStr">
        <is>
          <t>RUS_SK1_LEBEDINSKI</t>
        </is>
      </c>
      <c r="E3" s="3" t="inlineStr">
        <is>
          <t>WATER_INJ</t>
        </is>
      </c>
      <c r="F3" s="3" t="inlineStr">
        <is>
          <t>BBL</t>
        </is>
      </c>
      <c r="G3" s="3" t="n">
        <v>0</v>
      </c>
      <c r="H3" s="3" t="n"/>
      <c r="I3" s="3" t="inlineStr">
        <is>
          <t>Zero row not posted (by design)</t>
        </is>
      </c>
      <c r="J3" s="3" t="inlineStr">
        <is>
          <t>Low</t>
        </is>
      </c>
      <c r="K3" s="3" t="inlineStr">
        <is>
          <t>As CHAYVO WATER_INJ.</t>
        </is>
      </c>
      <c r="L3" s="3" t="inlineStr">
        <is>
          <t>Information only.</t>
        </is>
      </c>
    </row>
    <row r="4">
      <c r="A4" s="3" t="n">
        <v>3</v>
      </c>
      <c r="B4" s="3" t="inlineStr">
        <is>
          <t>25.10.2026</t>
        </is>
      </c>
      <c r="C4" s="3" t="inlineStr">
        <is>
          <t>RUS_VAN</t>
        </is>
      </c>
      <c r="D4" s="3" t="inlineStr">
        <is>
          <t>RUS_VAN_VANKORNEFT</t>
        </is>
      </c>
      <c r="E4" s="3" t="inlineStr">
        <is>
          <t>NET_PROD</t>
        </is>
      </c>
      <c r="F4" s="3" t="inlineStr">
        <is>
          <t>BBL</t>
        </is>
      </c>
      <c r="G4" s="3" t="n">
        <v>153814.6</v>
      </c>
      <c r="H4" s="3" t="n">
        <v>153814.56</v>
      </c>
      <c r="I4" s="3" t="inlineStr">
        <is>
          <t>Match (rounding)</t>
        </is>
      </c>
      <c r="J4" s="3" t="inlineStr">
        <is>
          <t>Low</t>
        </is>
      </c>
      <c r="K4" s="3" t="inlineStr">
        <is>
          <t>QAS 153,814.56 vs PRD 153,814.60 - 0.04 BBL. The manual entry was rounded to one decimal; QAS carries the source figure.</t>
        </is>
      </c>
      <c r="L4" s="3" t="inlineStr">
        <is>
          <t>None.</t>
        </is>
      </c>
    </row>
    <row r="5">
      <c r="A5" s="3" t="n">
        <v>4</v>
      </c>
      <c r="B5" s="3" t="inlineStr">
        <is>
          <t>25.10.2026</t>
        </is>
      </c>
      <c r="C5" s="3" t="inlineStr">
        <is>
          <t>RUS_VAN</t>
        </is>
      </c>
      <c r="D5" s="3" t="inlineStr">
        <is>
          <t>RUS_VAN_VANKORNEFT</t>
        </is>
      </c>
      <c r="E5" s="3" t="inlineStr">
        <is>
          <t>WATER_INJ</t>
        </is>
      </c>
      <c r="F5" s="3" t="inlineStr">
        <is>
          <t>M3</t>
        </is>
      </c>
      <c r="G5" s="3" t="n">
        <v>283500</v>
      </c>
      <c r="H5" s="3" t="n"/>
      <c r="I5" s="3" t="inlineStr">
        <is>
          <t>Missing in QAS</t>
        </is>
      </c>
      <c r="J5" s="3" t="inlineStr">
        <is>
          <t>High</t>
        </is>
      </c>
      <c r="K5" s="3" t="inlineStr">
        <is>
          <t>PRD has 283,500 M3 (manual, user 96029). No RUS_VAN WATER_INJ row reached QAS - the payload field was blank or the record was not sent.</t>
        </is>
      </c>
      <c r="L5" s="3" t="inlineStr">
        <is>
          <t>Check the CPI message for 25.10 RUS_VAN: WATER_INJ should carry 283500.</t>
        </is>
      </c>
    </row>
    <row r="6">
      <c r="A6" s="3" t="n">
        <v>5</v>
      </c>
      <c r="B6" s="3" t="inlineStr">
        <is>
          <t>25.10.2026</t>
        </is>
      </c>
      <c r="C6" s="3" t="inlineStr">
        <is>
          <t>RUS_VAN</t>
        </is>
      </c>
      <c r="D6" s="3" t="inlineStr">
        <is>
          <t>RUS_VAN_VANKORNEFT</t>
        </is>
      </c>
      <c r="E6" s="3" t="inlineStr">
        <is>
          <t>GAS_INJ</t>
        </is>
      </c>
      <c r="F6" s="3" t="inlineStr">
        <is>
          <t>M3</t>
        </is>
      </c>
      <c r="G6" s="3" t="n">
        <v>0</v>
      </c>
      <c r="H6" s="3" t="n"/>
      <c r="I6" s="3" t="inlineStr">
        <is>
          <t>Zero row not posted (by design)</t>
        </is>
      </c>
      <c r="J6" s="3" t="inlineStr">
        <is>
          <t>Low</t>
        </is>
      </c>
      <c r="K6" s="3" t="inlineStr">
        <is>
          <t>PRD 0.000 M3 (manual); zero skipped by the class.</t>
        </is>
      </c>
      <c r="L6" s="3" t="inlineStr">
        <is>
          <t>Information only.</t>
        </is>
      </c>
    </row>
    <row r="7">
      <c r="A7" s="3" t="n">
        <v>6</v>
      </c>
      <c r="B7" s="3" t="inlineStr">
        <is>
          <t>25.10.2026</t>
        </is>
      </c>
      <c r="C7" s="3" t="inlineStr">
        <is>
          <t>RUS_VAN</t>
        </is>
      </c>
      <c r="D7" s="3" t="inlineStr">
        <is>
          <t>RUS_VAN_VANKORNEFT</t>
        </is>
      </c>
      <c r="E7" s="3" t="inlineStr">
        <is>
          <t>GROSS_PROD</t>
        </is>
      </c>
      <c r="F7" s="3" t="inlineStr">
        <is>
          <t>M3</t>
        </is>
      </c>
      <c r="G7" s="3" t="n">
        <v>10734000</v>
      </c>
      <c r="H7" s="3" t="n">
        <v>10.734</v>
      </c>
      <c r="I7" s="3" t="inlineStr">
        <is>
          <t>Wrong value - scale x1,000,000</t>
        </is>
      </c>
      <c r="J7" s="3" t="inlineStr">
        <is>
          <t>High</t>
        </is>
      </c>
      <c r="K7" s="3" t="inlineStr">
        <is>
          <t>QAS 10.734 vs PRD 10,734,000 M3. Same x1,000,000 gap as the 06.10 reconciliation (RUS_VAN gas). Source reports gas in million m3; the class stores the number as sent (no factor) under UoM M3.</t>
        </is>
      </c>
      <c r="L7" s="3" t="inlineStr">
        <is>
          <t>Still open since 06.10. Multiply by 1,000,000 in CPI for RUS_VAN GROSS_PROD/GAS_INJ, or have the source send m3.</t>
        </is>
      </c>
    </row>
    <row r="8">
      <c r="A8" s="3" t="n">
        <v>7</v>
      </c>
      <c r="B8" s="3" t="inlineStr">
        <is>
          <t>25.10.2026</t>
        </is>
      </c>
      <c r="C8" s="3" t="inlineStr">
        <is>
          <t>SSU_SPO</t>
        </is>
      </c>
      <c r="D8" s="3" t="inlineStr">
        <is>
          <t>SSU_SPO_BLOCK5A</t>
        </is>
      </c>
      <c r="E8" s="3" t="inlineStr">
        <is>
          <t>NET_PROD</t>
        </is>
      </c>
      <c r="F8" s="3" t="inlineStr">
        <is>
          <t>BBL</t>
        </is>
      </c>
      <c r="G8" s="3" t="n">
        <v>8553</v>
      </c>
      <c r="H8" s="3" t="n">
        <v>8553.088</v>
      </c>
      <c r="I8" s="3" t="inlineStr">
        <is>
          <t>Match (rounding) / comment</t>
        </is>
      </c>
      <c r="J8" s="3" t="inlineStr">
        <is>
          <t>Medium</t>
        </is>
      </c>
      <c r="K8" s="3" t="inlineStr">
        <is>
          <t>Quantity OK: 8,553.088 vs 8,553. COMMENT is wrong: PRD "HIGH WC (65.4%)" (operator remark) vs QAS "105354.658 | 12.5 | 84427.19" - three spilled cells from the report, not the remark.</t>
        </is>
      </c>
      <c r="L8" s="3" t="inlineStr">
        <is>
          <t>Fix the COMMENT mapping for SSU_SPO in CPI (remark column, not the neighbouring numeric cells).</t>
        </is>
      </c>
    </row>
    <row r="9">
      <c r="A9" s="3" t="n">
        <v>8</v>
      </c>
      <c r="B9" s="3" t="inlineStr">
        <is>
          <t>25.10.2026</t>
        </is>
      </c>
      <c r="C9" s="3" t="inlineStr">
        <is>
          <t>VEN_CAR</t>
        </is>
      </c>
      <c r="D9" s="3" t="inlineStr">
        <is>
          <t>VEN_CAR_CARABOBO</t>
        </is>
      </c>
      <c r="E9" s="3" t="inlineStr">
        <is>
          <t>NET_PROD</t>
        </is>
      </c>
      <c r="F9" s="3" t="inlineStr">
        <is>
          <t>BBL</t>
        </is>
      </c>
      <c r="G9" s="3" t="n">
        <v>7162</v>
      </c>
      <c r="H9" s="3" t="n">
        <v>7162.361</v>
      </c>
      <c r="I9" s="3" t="inlineStr">
        <is>
          <t>Match (rounding) / comment</t>
        </is>
      </c>
      <c r="J9" s="3" t="inlineStr">
        <is>
          <t>Medium</t>
        </is>
      </c>
      <c r="K9" s="3" t="inlineStr">
        <is>
          <t>Quantity OK: 7,162.361 vs 7,162 (the Spanish-separator risk from the 06.10 notes did not bite: value arrived with a decimal point). COMMENT is a header dump: "ESTADO DE POZOS PETROCARABOBO | Nº DE POZOS | 1 | ACUMULADO/ DESACUMULADO TANQUE".</t>
        </is>
      </c>
      <c r="L9" s="3" t="inlineStr">
        <is>
          <t>Fix the COMMENT mapping for VEN_CAR in CPI; PRD carries no remark for this row.</t>
        </is>
      </c>
    </row>
    <row r="10">
      <c r="A10" s="3" t="n">
        <v>9</v>
      </c>
      <c r="B10" s="3" t="inlineStr">
        <is>
          <t>25.10.2026</t>
        </is>
      </c>
      <c r="C10" s="3" t="inlineStr">
        <is>
          <t>VEN_CAR</t>
        </is>
      </c>
      <c r="D10" s="3" t="inlineStr">
        <is>
          <t>VEN_CAR_CARABOBO</t>
        </is>
      </c>
      <c r="E10" s="3" t="inlineStr">
        <is>
          <t>GAS_FLARE</t>
        </is>
      </c>
      <c r="F10" s="3" t="inlineStr">
        <is>
          <t>MCF</t>
        </is>
      </c>
      <c r="G10" s="3" t="n">
        <v>6.59</v>
      </c>
      <c r="H10" s="3" t="n"/>
      <c r="I10" s="3" t="inlineStr">
        <is>
          <t>Missing in QAS</t>
        </is>
      </c>
      <c r="J10" s="3" t="inlineStr">
        <is>
          <t>High</t>
        </is>
      </c>
      <c r="K10" s="3" t="inlineStr">
        <is>
          <t>PRD has 6.590 MCF. Not in QAS at all; only NET_PROD and GROSS_PROD arrived for VEN_CAR.</t>
        </is>
      </c>
      <c r="L10" s="3" t="inlineStr">
        <is>
          <t>Map GAS_FLARE for VEN_CAR in CPI (MMPCD column).</t>
        </is>
      </c>
    </row>
    <row r="11">
      <c r="A11" s="3" t="n">
        <v>10</v>
      </c>
      <c r="B11" s="3" t="inlineStr">
        <is>
          <t>25.10.2026</t>
        </is>
      </c>
      <c r="C11" s="3" t="inlineStr">
        <is>
          <t>VEN_CAR</t>
        </is>
      </c>
      <c r="D11" s="3" t="inlineStr">
        <is>
          <t>VEN_CAR_CARABOBO</t>
        </is>
      </c>
      <c r="E11" s="3" t="inlineStr">
        <is>
          <t>GROSS_PROD</t>
        </is>
      </c>
      <c r="F11" s="3" t="inlineStr">
        <is>
          <t>MCF</t>
        </is>
      </c>
      <c r="G11" s="3" t="n">
        <v>6.77</v>
      </c>
      <c r="H11" s="3" t="n">
        <v>0.192</v>
      </c>
      <c r="I11" s="3" t="inlineStr">
        <is>
          <t>Wrong value - wrong column / unit</t>
        </is>
      </c>
      <c r="J11" s="3" t="inlineStr">
        <is>
          <t>High</t>
        </is>
      </c>
      <c r="K11" s="3" t="inlineStr">
        <is>
          <t>QAS 0.192 vs PRD 6.770 MCF. 6.770 / 35.3147 = 0.1917, so QAS picked the cubic-metre figure of the Venezuela report, not the MMPCD (cubic-feet) figure that PRD books under MCF. PRD also shows GROSS 6.77 = FLARE 6.59 + INT_CONS 0.18, which 0.192 does not reproduce.</t>
        </is>
      </c>
      <c r="L11" s="3" t="inlineStr">
        <is>
          <t>Point the CPI mapping for VEN_CAR gas at the MMPCD column; confirm with the Venezuela asset which column is the agreed source.</t>
        </is>
      </c>
    </row>
    <row r="12">
      <c r="A12" s="3" t="n">
        <v>11</v>
      </c>
      <c r="B12" s="3" t="inlineStr">
        <is>
          <t>25.10.2026</t>
        </is>
      </c>
      <c r="C12" s="3" t="inlineStr">
        <is>
          <t>VEN_CAR</t>
        </is>
      </c>
      <c r="D12" s="3" t="inlineStr">
        <is>
          <t>VEN_CAR_CARABOBO</t>
        </is>
      </c>
      <c r="E12" s="3" t="inlineStr">
        <is>
          <t>INT_CONS</t>
        </is>
      </c>
      <c r="F12" s="3" t="inlineStr">
        <is>
          <t>MCF</t>
        </is>
      </c>
      <c r="G12" s="3" t="n">
        <v>0.18</v>
      </c>
      <c r="H12" s="3" t="n"/>
      <c r="I12" s="3" t="inlineStr">
        <is>
          <t>Missing in QAS</t>
        </is>
      </c>
      <c r="J12" s="3" t="inlineStr">
        <is>
          <t>High</t>
        </is>
      </c>
      <c r="K12" s="3" t="inlineStr">
        <is>
          <t>PRD has 0.180 MCF. Not in QAS.</t>
        </is>
      </c>
      <c r="L12" s="3" t="inlineStr">
        <is>
          <t>Map INT_CONS for VEN_CAR in CPI (MMPCD column).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2" customWidth="1" min="3" max="3"/>
    <col width="12" customWidth="1" min="4" max="4"/>
    <col width="8" customWidth="1" min="5" max="5"/>
    <col width="14" customWidth="1" min="6" max="6"/>
    <col width="8" customWidth="1" min="7" max="7"/>
    <col width="14" customWidth="1" min="8" max="8"/>
    <col width="32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Asset</t>
        </is>
      </c>
      <c r="C1" s="2" t="inlineStr">
        <is>
          <t>Block</t>
        </is>
      </c>
      <c r="D1" s="2" t="inlineStr">
        <is>
          <t>Measure</t>
        </is>
      </c>
      <c r="E1" s="2" t="inlineStr">
        <is>
          <t>PRD UoM</t>
        </is>
      </c>
      <c r="F1" s="2" t="inlineStr">
        <is>
          <t>PRD value</t>
        </is>
      </c>
      <c r="G1" s="2" t="inlineStr">
        <is>
          <t>QAS UoM</t>
        </is>
      </c>
      <c r="H1" s="2" t="inlineStr">
        <is>
          <t>QAS value</t>
        </is>
      </c>
      <c r="I1" s="2" t="inlineStr">
        <is>
          <t>Status</t>
        </is>
      </c>
      <c r="J1" s="2" t="inlineStr">
        <is>
          <t>QAS - PRD</t>
        </is>
      </c>
    </row>
    <row r="2">
      <c r="A2" s="3" t="inlineStr">
        <is>
          <t>25.10.2026</t>
        </is>
      </c>
      <c r="B2" s="3" t="inlineStr">
        <is>
          <t>RUS_SK1</t>
        </is>
      </c>
      <c r="C2" s="3" t="inlineStr">
        <is>
          <t>RUS_SK1_ARKUTUN</t>
        </is>
      </c>
      <c r="D2" s="3" t="inlineStr">
        <is>
          <t>NET_PROD</t>
        </is>
      </c>
      <c r="E2" s="3" t="inlineStr">
        <is>
          <t>BBL</t>
        </is>
      </c>
      <c r="F2" s="3" t="n">
        <v>71396</v>
      </c>
      <c r="G2" s="3" t="inlineStr">
        <is>
          <t>BBL</t>
        </is>
      </c>
      <c r="H2" s="3" t="n">
        <v>71396</v>
      </c>
      <c r="I2" s="3" t="inlineStr">
        <is>
          <t>Match</t>
        </is>
      </c>
      <c r="J2" s="3" t="n">
        <v>0</v>
      </c>
    </row>
    <row r="3">
      <c r="A3" s="3" t="inlineStr">
        <is>
          <t>25.10.2026</t>
        </is>
      </c>
      <c r="B3" s="3" t="inlineStr">
        <is>
          <t>RUS_SK1</t>
        </is>
      </c>
      <c r="C3" s="3" t="inlineStr">
        <is>
          <t>RUS_SK1_ARKUTUN</t>
        </is>
      </c>
      <c r="D3" s="3" t="inlineStr">
        <is>
          <t>WATER_INJ</t>
        </is>
      </c>
      <c r="E3" s="3" t="inlineStr">
        <is>
          <t>BBL</t>
        </is>
      </c>
      <c r="F3" s="3" t="n">
        <v>137302</v>
      </c>
      <c r="G3" s="3" t="inlineStr">
        <is>
          <t>BBL</t>
        </is>
      </c>
      <c r="H3" s="3" t="n">
        <v>137302</v>
      </c>
      <c r="I3" s="3" t="inlineStr">
        <is>
          <t>Match</t>
        </is>
      </c>
      <c r="J3" s="3" t="n">
        <v>0</v>
      </c>
    </row>
    <row r="4">
      <c r="A4" s="3" t="inlineStr">
        <is>
          <t>25.10.2026</t>
        </is>
      </c>
      <c r="B4" s="3" t="inlineStr">
        <is>
          <t>RUS_SK1</t>
        </is>
      </c>
      <c r="C4" s="3" t="inlineStr">
        <is>
          <t>RUS_SK1_CHAYVO</t>
        </is>
      </c>
      <c r="D4" s="3" t="inlineStr">
        <is>
          <t>NET_PROD</t>
        </is>
      </c>
      <c r="E4" s="3" t="inlineStr">
        <is>
          <t>BBL</t>
        </is>
      </c>
      <c r="F4" s="3" t="n">
        <v>38065</v>
      </c>
      <c r="G4" s="3" t="inlineStr">
        <is>
          <t>BBL</t>
        </is>
      </c>
      <c r="H4" s="3" t="n">
        <v>38065</v>
      </c>
      <c r="I4" s="3" t="inlineStr">
        <is>
          <t>Match</t>
        </is>
      </c>
      <c r="J4" s="3" t="n">
        <v>0</v>
      </c>
    </row>
    <row r="5">
      <c r="A5" s="3" t="inlineStr">
        <is>
          <t>25.10.2026</t>
        </is>
      </c>
      <c r="B5" s="3" t="inlineStr">
        <is>
          <t>RUS_SK1</t>
        </is>
      </c>
      <c r="C5" s="3" t="inlineStr">
        <is>
          <t>RUS_SK1_CHAYVO</t>
        </is>
      </c>
      <c r="D5" s="3" t="inlineStr">
        <is>
          <t>WATER_INJ</t>
        </is>
      </c>
      <c r="E5" s="3" t="inlineStr">
        <is>
          <t>BBL</t>
        </is>
      </c>
      <c r="F5" s="3" t="n">
        <v>0</v>
      </c>
      <c r="G5" s="3" t="n"/>
      <c r="H5" s="3" t="n"/>
      <c r="I5" s="3" t="inlineStr">
        <is>
          <t>Zero row not posted (by design)</t>
        </is>
      </c>
      <c r="J5" s="3" t="n"/>
    </row>
    <row r="6">
      <c r="A6" s="3" t="inlineStr">
        <is>
          <t>25.10.2026</t>
        </is>
      </c>
      <c r="B6" s="3" t="inlineStr">
        <is>
          <t>RUS_SK1</t>
        </is>
      </c>
      <c r="C6" s="3" t="inlineStr">
        <is>
          <t>RUS_SK1_LEBEDINSKI</t>
        </is>
      </c>
      <c r="D6" s="3" t="inlineStr">
        <is>
          <t>NET_PROD</t>
        </is>
      </c>
      <c r="E6" s="3" t="inlineStr">
        <is>
          <t>BBL</t>
        </is>
      </c>
      <c r="F6" s="3" t="n">
        <v>884</v>
      </c>
      <c r="G6" s="3" t="inlineStr">
        <is>
          <t>BBL</t>
        </is>
      </c>
      <c r="H6" s="3" t="n">
        <v>884</v>
      </c>
      <c r="I6" s="3" t="inlineStr">
        <is>
          <t>Match</t>
        </is>
      </c>
      <c r="J6" s="3" t="n">
        <v>0</v>
      </c>
    </row>
    <row r="7">
      <c r="A7" s="3" t="inlineStr">
        <is>
          <t>25.10.2026</t>
        </is>
      </c>
      <c r="B7" s="3" t="inlineStr">
        <is>
          <t>RUS_SK1</t>
        </is>
      </c>
      <c r="C7" s="3" t="inlineStr">
        <is>
          <t>RUS_SK1_LEBEDINSKI</t>
        </is>
      </c>
      <c r="D7" s="3" t="inlineStr">
        <is>
          <t>WATER_INJ</t>
        </is>
      </c>
      <c r="E7" s="3" t="inlineStr">
        <is>
          <t>BBL</t>
        </is>
      </c>
      <c r="F7" s="3" t="n">
        <v>0</v>
      </c>
      <c r="G7" s="3" t="n"/>
      <c r="H7" s="3" t="n"/>
      <c r="I7" s="3" t="inlineStr">
        <is>
          <t>Zero row not posted (by design)</t>
        </is>
      </c>
      <c r="J7" s="3" t="n"/>
    </row>
    <row r="8">
      <c r="A8" s="3" t="inlineStr">
        <is>
          <t>25.10.2026</t>
        </is>
      </c>
      <c r="B8" s="3" t="inlineStr">
        <is>
          <t>RUS_SK1</t>
        </is>
      </c>
      <c r="C8" s="3" t="inlineStr">
        <is>
          <t>RUS_SK1_ODOPTU</t>
        </is>
      </c>
      <c r="D8" s="3" t="inlineStr">
        <is>
          <t>NET_PROD</t>
        </is>
      </c>
      <c r="E8" s="3" t="inlineStr">
        <is>
          <t>BBL</t>
        </is>
      </c>
      <c r="F8" s="3" t="n">
        <v>67929</v>
      </c>
      <c r="G8" s="3" t="inlineStr">
        <is>
          <t>BBL</t>
        </is>
      </c>
      <c r="H8" s="3" t="n">
        <v>67929</v>
      </c>
      <c r="I8" s="3" t="inlineStr">
        <is>
          <t>Match</t>
        </is>
      </c>
      <c r="J8" s="3" t="n">
        <v>0</v>
      </c>
    </row>
    <row r="9">
      <c r="A9" s="3" t="inlineStr">
        <is>
          <t>25.10.2026</t>
        </is>
      </c>
      <c r="B9" s="3" t="inlineStr">
        <is>
          <t>RUS_SK1</t>
        </is>
      </c>
      <c r="C9" s="3" t="inlineStr">
        <is>
          <t>RUS_SK1_ODOPTU</t>
        </is>
      </c>
      <c r="D9" s="3" t="inlineStr">
        <is>
          <t>WATER_INJ</t>
        </is>
      </c>
      <c r="E9" s="3" t="inlineStr">
        <is>
          <t>BBL</t>
        </is>
      </c>
      <c r="F9" s="3" t="n">
        <v>40230</v>
      </c>
      <c r="G9" s="3" t="inlineStr">
        <is>
          <t>BBL</t>
        </is>
      </c>
      <c r="H9" s="3" t="n">
        <v>40230</v>
      </c>
      <c r="I9" s="3" t="inlineStr">
        <is>
          <t>Match</t>
        </is>
      </c>
      <c r="J9" s="3" t="n">
        <v>0</v>
      </c>
    </row>
    <row r="10">
      <c r="A10" s="3" t="inlineStr">
        <is>
          <t>25.10.2026</t>
        </is>
      </c>
      <c r="B10" s="3" t="inlineStr">
        <is>
          <t>RUS_VAN</t>
        </is>
      </c>
      <c r="C10" s="3" t="inlineStr">
        <is>
          <t>RUS_VAN_VANKORNEFT</t>
        </is>
      </c>
      <c r="D10" s="3" t="inlineStr">
        <is>
          <t>NET_PROD</t>
        </is>
      </c>
      <c r="E10" s="3" t="inlineStr">
        <is>
          <t>BBL</t>
        </is>
      </c>
      <c r="F10" s="3" t="n">
        <v>153814.6</v>
      </c>
      <c r="G10" s="3" t="inlineStr">
        <is>
          <t>BBL</t>
        </is>
      </c>
      <c r="H10" s="3" t="n">
        <v>153814.56</v>
      </c>
      <c r="I10" s="3" t="inlineStr">
        <is>
          <t>Match (rounding)</t>
        </is>
      </c>
      <c r="J10" s="3" t="n">
        <v>-0.04000000000814907</v>
      </c>
    </row>
    <row r="11">
      <c r="A11" s="3" t="inlineStr">
        <is>
          <t>25.10.2026</t>
        </is>
      </c>
      <c r="B11" s="3" t="inlineStr">
        <is>
          <t>RUS_VAN</t>
        </is>
      </c>
      <c r="C11" s="3" t="inlineStr">
        <is>
          <t>RUS_VAN_VANKORNEFT</t>
        </is>
      </c>
      <c r="D11" s="3" t="inlineStr">
        <is>
          <t>WATER_INJ</t>
        </is>
      </c>
      <c r="E11" s="3" t="inlineStr">
        <is>
          <t>M3</t>
        </is>
      </c>
      <c r="F11" s="3" t="n">
        <v>283500</v>
      </c>
      <c r="G11" s="3" t="n"/>
      <c r="H11" s="3" t="n"/>
      <c r="I11" s="3" t="inlineStr">
        <is>
          <t>Missing in QAS</t>
        </is>
      </c>
      <c r="J11" s="3" t="n"/>
    </row>
    <row r="12">
      <c r="A12" s="3" t="inlineStr">
        <is>
          <t>25.10.2026</t>
        </is>
      </c>
      <c r="B12" s="3" t="inlineStr">
        <is>
          <t>RUS_VAN</t>
        </is>
      </c>
      <c r="C12" s="3" t="inlineStr">
        <is>
          <t>RUS_VAN_VANKORNEFT</t>
        </is>
      </c>
      <c r="D12" s="3" t="inlineStr">
        <is>
          <t>GAS_INJ</t>
        </is>
      </c>
      <c r="E12" s="3" t="inlineStr">
        <is>
          <t>M3</t>
        </is>
      </c>
      <c r="F12" s="3" t="n">
        <v>0</v>
      </c>
      <c r="G12" s="3" t="n"/>
      <c r="H12" s="3" t="n"/>
      <c r="I12" s="3" t="inlineStr">
        <is>
          <t>Zero row not posted (by design)</t>
        </is>
      </c>
      <c r="J12" s="3" t="n"/>
    </row>
    <row r="13">
      <c r="A13" s="3" t="inlineStr">
        <is>
          <t>25.10.2026</t>
        </is>
      </c>
      <c r="B13" s="3" t="inlineStr">
        <is>
          <t>RUS_VAN</t>
        </is>
      </c>
      <c r="C13" s="3" t="inlineStr">
        <is>
          <t>RUS_VAN_VANKORNEFT</t>
        </is>
      </c>
      <c r="D13" s="3" t="inlineStr">
        <is>
          <t>GROSS_PROD</t>
        </is>
      </c>
      <c r="E13" s="3" t="inlineStr">
        <is>
          <t>M3</t>
        </is>
      </c>
      <c r="F13" s="3" t="n">
        <v>10734000</v>
      </c>
      <c r="G13" s="3" t="inlineStr">
        <is>
          <t>M3</t>
        </is>
      </c>
      <c r="H13" s="3" t="n">
        <v>10.734</v>
      </c>
      <c r="I13" s="3" t="inlineStr">
        <is>
          <t>Wrong value - scale x1,000,000</t>
        </is>
      </c>
      <c r="J13" s="3" t="n">
        <v>-10733989.266</v>
      </c>
    </row>
    <row r="14">
      <c r="A14" s="3" t="inlineStr">
        <is>
          <t>25.10.2026</t>
        </is>
      </c>
      <c r="B14" s="3" t="inlineStr">
        <is>
          <t>SSU_SPO</t>
        </is>
      </c>
      <c r="C14" s="3" t="inlineStr">
        <is>
          <t>SSU_SPO_BLOCK5A</t>
        </is>
      </c>
      <c r="D14" s="3" t="inlineStr">
        <is>
          <t>NET_PROD</t>
        </is>
      </c>
      <c r="E14" s="3" t="inlineStr">
        <is>
          <t>BBL</t>
        </is>
      </c>
      <c r="F14" s="3" t="n">
        <v>8553</v>
      </c>
      <c r="G14" s="3" t="inlineStr">
        <is>
          <t>BBL</t>
        </is>
      </c>
      <c r="H14" s="3" t="n">
        <v>8553.088</v>
      </c>
      <c r="I14" s="3" t="inlineStr">
        <is>
          <t>Match (rounding)</t>
        </is>
      </c>
      <c r="J14" s="3" t="n">
        <v>0.08799999999973807</v>
      </c>
    </row>
    <row r="15">
      <c r="A15" s="3" t="inlineStr">
        <is>
          <t>25.10.2026</t>
        </is>
      </c>
      <c r="B15" s="3" t="inlineStr">
        <is>
          <t>VEN_CAR</t>
        </is>
      </c>
      <c r="C15" s="3" t="inlineStr">
        <is>
          <t>VEN_CAR_CARABOBO</t>
        </is>
      </c>
      <c r="D15" s="3" t="inlineStr">
        <is>
          <t>NET_PROD</t>
        </is>
      </c>
      <c r="E15" s="3" t="inlineStr">
        <is>
          <t>BBL</t>
        </is>
      </c>
      <c r="F15" s="3" t="n">
        <v>7162</v>
      </c>
      <c r="G15" s="3" t="inlineStr">
        <is>
          <t>BBL</t>
        </is>
      </c>
      <c r="H15" s="3" t="n">
        <v>7162.361</v>
      </c>
      <c r="I15" s="3" t="inlineStr">
        <is>
          <t>Match (rounding)</t>
        </is>
      </c>
      <c r="J15" s="3" t="n">
        <v>0.3609999999998763</v>
      </c>
    </row>
    <row r="16">
      <c r="A16" s="3" t="inlineStr">
        <is>
          <t>25.10.2026</t>
        </is>
      </c>
      <c r="B16" s="3" t="inlineStr">
        <is>
          <t>VEN_CAR</t>
        </is>
      </c>
      <c r="C16" s="3" t="inlineStr">
        <is>
          <t>VEN_CAR_CARABOBO</t>
        </is>
      </c>
      <c r="D16" s="3" t="inlineStr">
        <is>
          <t>GAS_FLARE</t>
        </is>
      </c>
      <c r="E16" s="3" t="inlineStr">
        <is>
          <t>MCF</t>
        </is>
      </c>
      <c r="F16" s="3" t="n">
        <v>6.59</v>
      </c>
      <c r="G16" s="3" t="n"/>
      <c r="H16" s="3" t="n"/>
      <c r="I16" s="3" t="inlineStr">
        <is>
          <t>Missing in QAS</t>
        </is>
      </c>
      <c r="J16" s="3" t="n"/>
    </row>
    <row r="17">
      <c r="A17" s="3" t="inlineStr">
        <is>
          <t>25.10.2026</t>
        </is>
      </c>
      <c r="B17" s="3" t="inlineStr">
        <is>
          <t>VEN_CAR</t>
        </is>
      </c>
      <c r="C17" s="3" t="inlineStr">
        <is>
          <t>VEN_CAR_CARABOBO</t>
        </is>
      </c>
      <c r="D17" s="3" t="inlineStr">
        <is>
          <t>GROSS_PROD</t>
        </is>
      </c>
      <c r="E17" s="3" t="inlineStr">
        <is>
          <t>MCF</t>
        </is>
      </c>
      <c r="F17" s="3" t="n">
        <v>6.77</v>
      </c>
      <c r="G17" s="3" t="inlineStr">
        <is>
          <t>MCF</t>
        </is>
      </c>
      <c r="H17" s="3" t="n">
        <v>0.192</v>
      </c>
      <c r="I17" s="3" t="inlineStr">
        <is>
          <t>Wrong value - wrong column</t>
        </is>
      </c>
      <c r="J17" s="3" t="n">
        <v>-6.577999999999999</v>
      </c>
    </row>
    <row r="18">
      <c r="A18" s="3" t="inlineStr">
        <is>
          <t>25.10.2026</t>
        </is>
      </c>
      <c r="B18" s="3" t="inlineStr">
        <is>
          <t>VEN_CAR</t>
        </is>
      </c>
      <c r="C18" s="3" t="inlineStr">
        <is>
          <t>VEN_CAR_CARABOBO</t>
        </is>
      </c>
      <c r="D18" s="3" t="inlineStr">
        <is>
          <t>INT_CONS</t>
        </is>
      </c>
      <c r="E18" s="3" t="inlineStr">
        <is>
          <t>MCF</t>
        </is>
      </c>
      <c r="F18" s="3" t="n">
        <v>0.18</v>
      </c>
      <c r="G18" s="3" t="n"/>
      <c r="H18" s="3" t="n"/>
      <c r="I18" s="3" t="inlineStr">
        <is>
          <t>Missing in QAS</t>
        </is>
      </c>
      <c r="J1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2" customWidth="1" min="3" max="3"/>
    <col width="11" customWidth="1" min="4" max="4"/>
    <col width="12" customWidth="1" min="5" max="5"/>
    <col width="6" customWidth="1" min="6" max="6"/>
    <col width="12" customWidth="1" min="7" max="7"/>
    <col width="20" customWidth="1" min="8" max="8"/>
    <col width="90" customWidth="1" min="9" max="9"/>
  </cols>
  <sheetData>
    <row r="1">
      <c r="A1" s="2" t="inlineStr">
        <is>
          <t>Date</t>
        </is>
      </c>
      <c r="B1" s="2" t="inlineStr">
        <is>
          <t>Asset</t>
        </is>
      </c>
      <c r="C1" s="2" t="inlineStr">
        <is>
          <t>Block</t>
        </is>
      </c>
      <c r="D1" s="2" t="inlineStr">
        <is>
          <t>Product</t>
        </is>
      </c>
      <c r="E1" s="2" t="inlineStr">
        <is>
          <t>Measure</t>
        </is>
      </c>
      <c r="F1" s="2" t="inlineStr">
        <is>
          <t>UoM</t>
        </is>
      </c>
      <c r="G1" s="2" t="inlineStr">
        <is>
          <t>QAS value</t>
        </is>
      </c>
      <c r="H1" s="2" t="inlineStr">
        <is>
          <t>QAS comment</t>
        </is>
      </c>
      <c r="I1" s="2" t="inlineStr">
        <is>
          <t>Note</t>
        </is>
      </c>
    </row>
    <row r="2">
      <c r="A2" s="3" t="inlineStr">
        <is>
          <t>25.10.2026</t>
        </is>
      </c>
      <c r="B2" s="3" t="inlineStr">
        <is>
          <t>RUS_IEC</t>
        </is>
      </c>
      <c r="C2" s="3" t="inlineStr">
        <is>
          <t>RUS_IEC_DVOINOYE</t>
        </is>
      </c>
      <c r="D2" s="3" t="inlineStr">
        <is>
          <t>722000001</t>
        </is>
      </c>
      <c r="E2" s="3" t="inlineStr">
        <is>
          <t>NET_PROD</t>
        </is>
      </c>
      <c r="F2" s="3" t="inlineStr">
        <is>
          <t>BBL</t>
        </is>
      </c>
      <c r="G2" s="3" t="n">
        <v>81</v>
      </c>
      <c r="H2" s="3" t="inlineStr"/>
      <c r="I2" s="3" t="inlineStr">
        <is>
          <t>No RUS_IEC rows in the PRD extract for 25.10 - cannot verify. Gas values are now in m3 (06.10 payload sent thousand m3), so the RUS_IEC x1,000 issue looks fixed. MAISKOYE gas is on block RUS_IEC_MAISKOYE; PRD used RUS_IEC_MAISKOYEGRP on 06.10.</t>
        </is>
      </c>
    </row>
    <row r="3">
      <c r="A3" s="3" t="inlineStr">
        <is>
          <t>25.10.2026</t>
        </is>
      </c>
      <c r="B3" s="3" t="inlineStr">
        <is>
          <t>RUS_IEC</t>
        </is>
      </c>
      <c r="C3" s="3" t="inlineStr">
        <is>
          <t>RUS_IEC_DVOINOYE</t>
        </is>
      </c>
      <c r="D3" s="3" t="inlineStr">
        <is>
          <t>722000004</t>
        </is>
      </c>
      <c r="E3" s="3" t="inlineStr">
        <is>
          <t>GROSS_PROD</t>
        </is>
      </c>
      <c r="F3" s="3" t="inlineStr">
        <is>
          <t>M3</t>
        </is>
      </c>
      <c r="G3" s="3" t="n">
        <v>940</v>
      </c>
      <c r="H3" s="3" t="inlineStr"/>
      <c r="I3" s="3" t="inlineStr">
        <is>
          <t>No RUS_IEC rows in the PRD extract for 25.10 - cannot verify. Gas values are now in m3 (06.10 payload sent thousand m3), so the RUS_IEC x1,000 issue looks fixed. MAISKOYE gas is on block RUS_IEC_MAISKOYE; PRD used RUS_IEC_MAISKOYEGRP on 06.10.</t>
        </is>
      </c>
    </row>
    <row r="4">
      <c r="A4" s="3" t="inlineStr">
        <is>
          <t>25.10.2026</t>
        </is>
      </c>
      <c r="B4" s="3" t="inlineStr">
        <is>
          <t>RUS_IEC</t>
        </is>
      </c>
      <c r="C4" s="3" t="inlineStr">
        <is>
          <t>RUS_IEC_MAISKOYE</t>
        </is>
      </c>
      <c r="D4" s="3" t="inlineStr">
        <is>
          <t>722000001</t>
        </is>
      </c>
      <c r="E4" s="3" t="inlineStr">
        <is>
          <t>NET_PROD</t>
        </is>
      </c>
      <c r="F4" s="3" t="inlineStr">
        <is>
          <t>BBL</t>
        </is>
      </c>
      <c r="G4" s="3" t="n">
        <v>270</v>
      </c>
      <c r="H4" s="3" t="inlineStr"/>
      <c r="I4" s="3" t="inlineStr">
        <is>
          <t>No RUS_IEC rows in the PRD extract for 25.10 - cannot verify. Gas values are now in m3 (06.10 payload sent thousand m3), so the RUS_IEC x1,000 issue looks fixed. MAISKOYE gas is on block RUS_IEC_MAISKOYE; PRD used RUS_IEC_MAISKOYEGRP on 06.10.</t>
        </is>
      </c>
    </row>
    <row r="5">
      <c r="A5" s="3" t="inlineStr">
        <is>
          <t>25.10.2026</t>
        </is>
      </c>
      <c r="B5" s="3" t="inlineStr">
        <is>
          <t>RUS_IEC</t>
        </is>
      </c>
      <c r="C5" s="3" t="inlineStr">
        <is>
          <t>RUS_IEC_MAISKOYE</t>
        </is>
      </c>
      <c r="D5" s="3" t="inlineStr">
        <is>
          <t>722000004</t>
        </is>
      </c>
      <c r="E5" s="3" t="inlineStr">
        <is>
          <t>GROSS_PROD</t>
        </is>
      </c>
      <c r="F5" s="3" t="inlineStr">
        <is>
          <t>M3</t>
        </is>
      </c>
      <c r="G5" s="3" t="n">
        <v>9810</v>
      </c>
      <c r="H5" s="3" t="inlineStr"/>
      <c r="I5" s="3" t="inlineStr">
        <is>
          <t>No RUS_IEC rows in the PRD extract for 25.10 - cannot verify. Gas values are now in m3 (06.10 payload sent thousand m3), so the RUS_IEC x1,000 issue looks fixed. MAISKOYE gas is on block RUS_IEC_MAISKOYE; PRD used RUS_IEC_MAISKOYEGRP on 06.10.</t>
        </is>
      </c>
    </row>
    <row r="6">
      <c r="A6" s="3" t="inlineStr">
        <is>
          <t>25.10.2026</t>
        </is>
      </c>
      <c r="B6" s="3" t="inlineStr">
        <is>
          <t>RUS_IEC</t>
        </is>
      </c>
      <c r="C6" s="3" t="inlineStr">
        <is>
          <t>RUS_IEC_SNEZHNOYE</t>
        </is>
      </c>
      <c r="D6" s="3" t="inlineStr">
        <is>
          <t>722000001</t>
        </is>
      </c>
      <c r="E6" s="3" t="inlineStr">
        <is>
          <t>NET_PROD</t>
        </is>
      </c>
      <c r="F6" s="3" t="inlineStr">
        <is>
          <t>BBL</t>
        </is>
      </c>
      <c r="G6" s="3" t="n">
        <v>869</v>
      </c>
      <c r="H6" s="3" t="inlineStr"/>
      <c r="I6" s="3" t="inlineStr">
        <is>
          <t>No RUS_IEC rows in the PRD extract for 25.10 - cannot verify. Gas values are now in m3 (06.10 payload sent thousand m3), so the RUS_IEC x1,000 issue looks fixed. MAISKOYE gas is on block RUS_IEC_MAISKOYE; PRD used RUS_IEC_MAISKOYEGRP on 06.10.</t>
        </is>
      </c>
    </row>
    <row r="7">
      <c r="A7" s="3" t="inlineStr">
        <is>
          <t>25.10.2026</t>
        </is>
      </c>
      <c r="B7" s="3" t="inlineStr">
        <is>
          <t>RUS_IEC</t>
        </is>
      </c>
      <c r="C7" s="3" t="inlineStr">
        <is>
          <t>RUS_IEC_SNEZHNOYE</t>
        </is>
      </c>
      <c r="D7" s="3" t="inlineStr">
        <is>
          <t>722000004</t>
        </is>
      </c>
      <c r="E7" s="3" t="inlineStr">
        <is>
          <t>GROSS_PROD</t>
        </is>
      </c>
      <c r="F7" s="3" t="inlineStr">
        <is>
          <t>M3</t>
        </is>
      </c>
      <c r="G7" s="3" t="n">
        <v>227091</v>
      </c>
      <c r="H7" s="3" t="inlineStr"/>
      <c r="I7" s="3" t="inlineStr">
        <is>
          <t>No RUS_IEC rows in the PRD extract for 25.10 - cannot verify. Gas values are now in m3 (06.10 payload sent thousand m3), so the RUS_IEC x1,000 issue looks fixed. MAISKOYE gas is on block RUS_IEC_MAISKOYE; PRD used RUS_IEC_MAISKOYEGRP on 06.10.</t>
        </is>
      </c>
    </row>
    <row r="8">
      <c r="A8" s="3" t="inlineStr">
        <is>
          <t>25.10.2026</t>
        </is>
      </c>
      <c r="B8" s="3" t="inlineStr">
        <is>
          <t>RUS_IEC</t>
        </is>
      </c>
      <c r="C8" s="3" t="inlineStr">
        <is>
          <t>RUS_IEC_SOUTHMAISKOY</t>
        </is>
      </c>
      <c r="D8" s="3" t="inlineStr">
        <is>
          <t>722000001</t>
        </is>
      </c>
      <c r="E8" s="3" t="inlineStr">
        <is>
          <t>NET_PROD</t>
        </is>
      </c>
      <c r="F8" s="3" t="inlineStr">
        <is>
          <t>BBL</t>
        </is>
      </c>
      <c r="G8" s="3" t="n">
        <v>604</v>
      </c>
      <c r="H8" s="3" t="inlineStr"/>
      <c r="I8" s="3" t="inlineStr">
        <is>
          <t>No RUS_IEC rows in the PRD extract for 25.10 - cannot verify. Gas values are now in m3 (06.10 payload sent thousand m3), so the RUS_IEC x1,000 issue looks fixed. MAISKOYE gas is on block RUS_IEC_MAISKOYE; PRD used RUS_IEC_MAISKOYEGRP on 06.10.</t>
        </is>
      </c>
    </row>
    <row r="9">
      <c r="A9" s="3" t="inlineStr">
        <is>
          <t>25.10.2026</t>
        </is>
      </c>
      <c r="B9" s="3" t="inlineStr">
        <is>
          <t>RUS_SK1</t>
        </is>
      </c>
      <c r="C9" s="3" t="inlineStr">
        <is>
          <t>RUS_SK1_ARKUTUN</t>
        </is>
      </c>
      <c r="D9" s="3" t="inlineStr">
        <is>
          <t>722000004</t>
        </is>
      </c>
      <c r="E9" s="3" t="inlineStr">
        <is>
          <t>GAS_FLARE</t>
        </is>
      </c>
      <c r="F9" s="3" t="inlineStr">
        <is>
          <t>M3</t>
        </is>
      </c>
      <c r="G9" s="3" t="n">
        <v>472</v>
      </c>
      <c r="H9" s="3" t="inlineStr">
        <is>
          <t>к добыче: OP-22</t>
        </is>
      </c>
      <c r="I9" s="3" t="inlineStr">
        <is>
          <t>PRD extract has no RUS_SK1 gas (722000004) rows for 25.10 - cannot verify against PRD.</t>
        </is>
      </c>
    </row>
    <row r="10">
      <c r="A10" s="3" t="inlineStr">
        <is>
          <t>25.10.2026</t>
        </is>
      </c>
      <c r="B10" s="3" t="inlineStr">
        <is>
          <t>RUS_SK1</t>
        </is>
      </c>
      <c r="C10" s="3" t="inlineStr">
        <is>
          <t>RUS_SK1_ARKUTUN</t>
        </is>
      </c>
      <c r="D10" s="3" t="inlineStr">
        <is>
          <t>722000004</t>
        </is>
      </c>
      <c r="E10" s="3" t="inlineStr">
        <is>
          <t>GROSS_PROD</t>
        </is>
      </c>
      <c r="F10" s="3" t="inlineStr">
        <is>
          <t>M3</t>
        </is>
      </c>
      <c r="G10" s="3" t="n">
        <v>103384</v>
      </c>
      <c r="H10" s="3" t="inlineStr">
        <is>
          <t>к добыче: OP-22</t>
        </is>
      </c>
      <c r="I10" s="3" t="inlineStr">
        <is>
          <t>PRD extract has no RUS_SK1 gas (722000004) rows for 25.10 - cannot verify against PRD.</t>
        </is>
      </c>
    </row>
    <row r="11">
      <c r="A11" s="3" t="inlineStr">
        <is>
          <t>25.10.2026</t>
        </is>
      </c>
      <c r="B11" s="3" t="inlineStr">
        <is>
          <t>RUS_SK1</t>
        </is>
      </c>
      <c r="C11" s="3" t="inlineStr">
        <is>
          <t>RUS_SK1_ARKUTUN</t>
        </is>
      </c>
      <c r="D11" s="3" t="inlineStr">
        <is>
          <t>722000004</t>
        </is>
      </c>
      <c r="E11" s="3" t="inlineStr">
        <is>
          <t>INT_CONS</t>
        </is>
      </c>
      <c r="F11" s="3" t="inlineStr">
        <is>
          <t>M3</t>
        </is>
      </c>
      <c r="G11" s="3" t="n">
        <v>6882</v>
      </c>
      <c r="H11" s="3" t="inlineStr">
        <is>
          <t>к добыче: OP-22</t>
        </is>
      </c>
      <c r="I11" s="3" t="inlineStr">
        <is>
          <t>PRD extract has no RUS_SK1 gas (722000004) rows for 25.10 - cannot verify against PRD.</t>
        </is>
      </c>
    </row>
    <row r="12">
      <c r="A12" s="3" t="inlineStr">
        <is>
          <t>25.10.2026</t>
        </is>
      </c>
      <c r="B12" s="3" t="inlineStr">
        <is>
          <t>RUS_SK1</t>
        </is>
      </c>
      <c r="C12" s="3" t="inlineStr">
        <is>
          <t>RUS_SK1_CHAYVO</t>
        </is>
      </c>
      <c r="D12" s="3" t="inlineStr">
        <is>
          <t>722000004</t>
        </is>
      </c>
      <c r="E12" s="3" t="inlineStr">
        <is>
          <t>GAS_FLARE</t>
        </is>
      </c>
      <c r="F12" s="3" t="inlineStr">
        <is>
          <t>M3</t>
        </is>
      </c>
      <c r="G12" s="3" t="n">
        <v>5595</v>
      </c>
      <c r="H12" s="3" t="inlineStr">
        <is>
          <t>к добыче: OP-22</t>
        </is>
      </c>
      <c r="I12" s="3" t="inlineStr">
        <is>
          <t>PRD extract has no RUS_SK1 gas (722000004) rows for 25.10 - cannot verify against PRD.</t>
        </is>
      </c>
    </row>
    <row r="13">
      <c r="A13" s="3" t="inlineStr">
        <is>
          <t>25.10.2026</t>
        </is>
      </c>
      <c r="B13" s="3" t="inlineStr">
        <is>
          <t>RUS_SK1</t>
        </is>
      </c>
      <c r="C13" s="3" t="inlineStr">
        <is>
          <t>RUS_SK1_CHAYVO</t>
        </is>
      </c>
      <c r="D13" s="3" t="inlineStr">
        <is>
          <t>722000004</t>
        </is>
      </c>
      <c r="E13" s="3" t="inlineStr">
        <is>
          <t>GAS_INJ</t>
        </is>
      </c>
      <c r="F13" s="3" t="inlineStr">
        <is>
          <t>M3</t>
        </is>
      </c>
      <c r="G13" s="3" t="n">
        <v>214263</v>
      </c>
      <c r="H13" s="3" t="inlineStr">
        <is>
          <t>к добыче: OP-22</t>
        </is>
      </c>
      <c r="I13" s="3" t="inlineStr">
        <is>
          <t>PRD extract has no RUS_SK1 gas (722000004) rows for 25.10 - cannot verify against PRD.</t>
        </is>
      </c>
    </row>
    <row r="14">
      <c r="A14" s="3" t="inlineStr">
        <is>
          <t>25.10.2026</t>
        </is>
      </c>
      <c r="B14" s="3" t="inlineStr">
        <is>
          <t>RUS_SK1</t>
        </is>
      </c>
      <c r="C14" s="3" t="inlineStr">
        <is>
          <t>RUS_SK1_CHAYVO</t>
        </is>
      </c>
      <c r="D14" s="3" t="inlineStr">
        <is>
          <t>722000004</t>
        </is>
      </c>
      <c r="E14" s="3" t="inlineStr">
        <is>
          <t>GROSS_PROD</t>
        </is>
      </c>
      <c r="F14" s="3" t="inlineStr">
        <is>
          <t>M3</t>
        </is>
      </c>
      <c r="G14" s="3" t="n">
        <v>442119</v>
      </c>
      <c r="H14" s="3" t="inlineStr">
        <is>
          <t>к добыче: OP-22</t>
        </is>
      </c>
      <c r="I14" s="3" t="inlineStr">
        <is>
          <t>PRD extract has no RUS_SK1 gas (722000004) rows for 25.10 - cannot verify against PRD.</t>
        </is>
      </c>
    </row>
    <row r="15">
      <c r="A15" s="3" t="inlineStr">
        <is>
          <t>25.10.2026</t>
        </is>
      </c>
      <c r="B15" s="3" t="inlineStr">
        <is>
          <t>RUS_SK1</t>
        </is>
      </c>
      <c r="C15" s="3" t="inlineStr">
        <is>
          <t>RUS_SK1_CHAYVO</t>
        </is>
      </c>
      <c r="D15" s="3" t="inlineStr">
        <is>
          <t>722000004</t>
        </is>
      </c>
      <c r="E15" s="3" t="inlineStr">
        <is>
          <t>INT_CONS</t>
        </is>
      </c>
      <c r="F15" s="3" t="inlineStr">
        <is>
          <t>M3</t>
        </is>
      </c>
      <c r="G15" s="3" t="n">
        <v>21971</v>
      </c>
      <c r="H15" s="3" t="inlineStr">
        <is>
          <t>к добыче: OP-22</t>
        </is>
      </c>
      <c r="I15" s="3" t="inlineStr">
        <is>
          <t>PRD extract has no RUS_SK1 gas (722000004) rows for 25.10 - cannot verify against PRD.</t>
        </is>
      </c>
    </row>
    <row r="16">
      <c r="A16" s="3" t="inlineStr">
        <is>
          <t>25.10.2026</t>
        </is>
      </c>
      <c r="B16" s="3" t="inlineStr">
        <is>
          <t>RUS_SK1</t>
        </is>
      </c>
      <c r="C16" s="3" t="inlineStr">
        <is>
          <t>RUS_SK1_LEBEDINSKI</t>
        </is>
      </c>
      <c r="D16" s="3" t="inlineStr">
        <is>
          <t>722000004</t>
        </is>
      </c>
      <c r="E16" s="3" t="inlineStr">
        <is>
          <t>GAS_FLARE</t>
        </is>
      </c>
      <c r="F16" s="3" t="inlineStr">
        <is>
          <t>M3</t>
        </is>
      </c>
      <c r="G16" s="3" t="n">
        <v>76</v>
      </c>
      <c r="H16" s="3" t="inlineStr">
        <is>
          <t>к добыче: OP-22</t>
        </is>
      </c>
      <c r="I16" s="3" t="inlineStr">
        <is>
          <t>PRD extract has no RUS_SK1 gas (722000004) rows for 25.10 - cannot verify against PRD.</t>
        </is>
      </c>
    </row>
    <row r="17">
      <c r="A17" s="3" t="inlineStr">
        <is>
          <t>25.10.2026</t>
        </is>
      </c>
      <c r="B17" s="3" t="inlineStr">
        <is>
          <t>RUS_SK1</t>
        </is>
      </c>
      <c r="C17" s="3" t="inlineStr">
        <is>
          <t>RUS_SK1_LEBEDINSKI</t>
        </is>
      </c>
      <c r="D17" s="3" t="inlineStr">
        <is>
          <t>722000004</t>
        </is>
      </c>
      <c r="E17" s="3" t="inlineStr">
        <is>
          <t>GROSS_PROD</t>
        </is>
      </c>
      <c r="F17" s="3" t="inlineStr">
        <is>
          <t>M3</t>
        </is>
      </c>
      <c r="G17" s="3" t="n">
        <v>6661</v>
      </c>
      <c r="H17" s="3" t="inlineStr">
        <is>
          <t>к добыче: OP-22</t>
        </is>
      </c>
      <c r="I17" s="3" t="inlineStr">
        <is>
          <t>PRD extract has no RUS_SK1 gas (722000004) rows for 25.10 - cannot verify against PRD.</t>
        </is>
      </c>
    </row>
    <row r="18">
      <c r="A18" s="3" t="inlineStr">
        <is>
          <t>25.10.2026</t>
        </is>
      </c>
      <c r="B18" s="3" t="inlineStr">
        <is>
          <t>RUS_SK1</t>
        </is>
      </c>
      <c r="C18" s="3" t="inlineStr">
        <is>
          <t>RUS_SK1_LEBEDINSKI</t>
        </is>
      </c>
      <c r="D18" s="3" t="inlineStr">
        <is>
          <t>722000004</t>
        </is>
      </c>
      <c r="E18" s="3" t="inlineStr">
        <is>
          <t>INT_CONS</t>
        </is>
      </c>
      <c r="F18" s="3" t="inlineStr">
        <is>
          <t>M3</t>
        </is>
      </c>
      <c r="G18" s="3" t="n">
        <v>467496</v>
      </c>
      <c r="H18" s="3" t="inlineStr">
        <is>
          <t>к добыче: OP-22</t>
        </is>
      </c>
      <c r="I18" s="3" t="inlineStr">
        <is>
          <t>PRD extract has no RUS_SK1 gas (722000004) rows for 25.10 - cannot verify against PRD. IMPLAUSIBLE: INT_CONS 467,496 M3 against GROSS_PROD 6,661 M3 (70x the gross) - almost certainly a wrong cell (cumulative or another field).</t>
        </is>
      </c>
    </row>
    <row r="19">
      <c r="A19" s="3" t="inlineStr">
        <is>
          <t>25.10.2026</t>
        </is>
      </c>
      <c r="B19" s="3" t="inlineStr">
        <is>
          <t>RUS_SK1</t>
        </is>
      </c>
      <c r="C19" s="3" t="inlineStr">
        <is>
          <t>RUS_SK1_ODOPTU</t>
        </is>
      </c>
      <c r="D19" s="3" t="inlineStr">
        <is>
          <t>722000004</t>
        </is>
      </c>
      <c r="E19" s="3" t="inlineStr">
        <is>
          <t>GAS_FLARE</t>
        </is>
      </c>
      <c r="F19" s="3" t="inlineStr">
        <is>
          <t>M3</t>
        </is>
      </c>
      <c r="G19" s="3" t="n">
        <v>2541</v>
      </c>
      <c r="H19" s="3" t="inlineStr">
        <is>
          <t>к добыче: OP-22</t>
        </is>
      </c>
      <c r="I19" s="3" t="inlineStr">
        <is>
          <t>PRD extract has no RUS_SK1 gas (722000004) rows for 25.10 - cannot verify against PRD. Plausibility: INJ + FLARE + INT_CONS = 225,114 vs GROSS 221,390 (1.7% over) - roughly consistent.</t>
        </is>
      </c>
    </row>
    <row r="20">
      <c r="A20" s="3" t="inlineStr">
        <is>
          <t>25.10.2026</t>
        </is>
      </c>
      <c r="B20" s="3" t="inlineStr">
        <is>
          <t>RUS_SK1</t>
        </is>
      </c>
      <c r="C20" s="3" t="inlineStr">
        <is>
          <t>RUS_SK1_ODOPTU</t>
        </is>
      </c>
      <c r="D20" s="3" t="inlineStr">
        <is>
          <t>722000004</t>
        </is>
      </c>
      <c r="E20" s="3" t="inlineStr">
        <is>
          <t>GAS_INJ</t>
        </is>
      </c>
      <c r="F20" s="3" t="inlineStr">
        <is>
          <t>M3</t>
        </is>
      </c>
      <c r="G20" s="3" t="n">
        <v>207048</v>
      </c>
      <c r="H20" s="3" t="inlineStr">
        <is>
          <t>к добыче: OP-22</t>
        </is>
      </c>
      <c r="I20" s="3" t="inlineStr">
        <is>
          <t>PRD extract has no RUS_SK1 gas (722000004) rows for 25.10 - cannot verify against PRD. Plausibility: INJ + FLARE + INT_CONS = 225,114 vs GROSS 221,390 (1.7% over) - roughly consistent.</t>
        </is>
      </c>
    </row>
    <row r="21">
      <c r="A21" s="3" t="inlineStr">
        <is>
          <t>25.10.2026</t>
        </is>
      </c>
      <c r="B21" s="3" t="inlineStr">
        <is>
          <t>RUS_SK1</t>
        </is>
      </c>
      <c r="C21" s="3" t="inlineStr">
        <is>
          <t>RUS_SK1_ODOPTU</t>
        </is>
      </c>
      <c r="D21" s="3" t="inlineStr">
        <is>
          <t>722000004</t>
        </is>
      </c>
      <c r="E21" s="3" t="inlineStr">
        <is>
          <t>GROSS_PROD</t>
        </is>
      </c>
      <c r="F21" s="3" t="inlineStr">
        <is>
          <t>M3</t>
        </is>
      </c>
      <c r="G21" s="3" t="n">
        <v>221390</v>
      </c>
      <c r="H21" s="3" t="inlineStr">
        <is>
          <t>к добыче: OP-22</t>
        </is>
      </c>
      <c r="I21" s="3" t="inlineStr">
        <is>
          <t>PRD extract has no RUS_SK1 gas (722000004) rows for 25.10 - cannot verify against PRD.</t>
        </is>
      </c>
    </row>
    <row r="22">
      <c r="A22" s="3" t="inlineStr">
        <is>
          <t>25.10.2026</t>
        </is>
      </c>
      <c r="B22" s="3" t="inlineStr">
        <is>
          <t>RUS_SK1</t>
        </is>
      </c>
      <c r="C22" s="3" t="inlineStr">
        <is>
          <t>RUS_SK1_ODOPTU</t>
        </is>
      </c>
      <c r="D22" s="3" t="inlineStr">
        <is>
          <t>722000004</t>
        </is>
      </c>
      <c r="E22" s="3" t="inlineStr">
        <is>
          <t>INT_CONS</t>
        </is>
      </c>
      <c r="F22" s="3" t="inlineStr">
        <is>
          <t>M3</t>
        </is>
      </c>
      <c r="G22" s="3" t="n">
        <v>15525</v>
      </c>
      <c r="H22" s="3" t="inlineStr">
        <is>
          <t>к добыче: OP-22</t>
        </is>
      </c>
      <c r="I22" s="3" t="inlineStr">
        <is>
          <t>PRD extract has no RUS_SK1 gas (722000004) rows for 25.10 - cannot verify against PRD. Plausibility: INJ + FLARE + INT_CONS = 225,114 vs GROSS 221,390 (1.7% over) - roughly consistent.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0" customWidth="1" min="2" max="2"/>
    <col width="70" customWidth="1" min="3" max="3"/>
  </cols>
  <sheetData>
    <row r="1">
      <c r="A1" s="2" t="inlineStr">
        <is>
          <t>#</t>
        </is>
      </c>
      <c r="B1" s="2" t="inlineStr">
        <is>
          <t>Finding (ZCL_ZPRA_DAILY_PROD_DPC_EXT / CPI)</t>
        </is>
      </c>
      <c r="C1" s="2" t="inlineStr">
        <is>
          <t>Impact</t>
        </is>
      </c>
    </row>
    <row r="2">
      <c r="A2" s="3" t="n">
        <v>1</v>
      </c>
      <c r="B2" s="3" t="inlineStr">
        <is>
          <t>RUS_VAN gas still arrives in million m3 (10.734 for 10,734,000 M3). ZCL_ZPRA_DAILY_PROD_DPC_EXT stores the number as sent with UoM M3 - no factor.</t>
        </is>
      </c>
      <c r="C2" s="3" t="inlineStr">
        <is>
          <t>Open since 06.10. Every RUS_VAN gas value posted through the interface is 1,000,000x too small.</t>
        </is>
      </c>
    </row>
    <row r="3">
      <c r="A3" s="3" t="n">
        <v>2</v>
      </c>
      <c r="B3" s="3" t="inlineStr">
        <is>
          <t>VEN_CAR gas: QAS picked the m3 column (0.192) where PRD books MMPCD (6.77) under MCF. 6.77 / 35.3147 = 0.1917.</t>
        </is>
      </c>
      <c r="C3" s="3" t="inlineStr">
        <is>
          <t>Wrong gross gas for VEN_CAR; FLARE and INT_CONS not sent at all.</t>
        </is>
      </c>
    </row>
    <row r="4">
      <c r="A4" s="3" t="n">
        <v>3</v>
      </c>
      <c r="B4" s="3" t="inlineStr">
        <is>
          <t>RUS_VAN WATER_INJ, VEN_CAR GAS_FLARE and VEN_CAR INT_CONS are non-zero in PRD but absent in QAS. The class drops a measure only when it is blank or zero, so these were blank or absent in the payload.</t>
        </is>
      </c>
      <c r="C4" s="3" t="inlineStr">
        <is>
          <t>Three measures lost per day for these assets.</t>
        </is>
      </c>
    </row>
    <row r="5">
      <c r="A5" s="3" t="n">
        <v>4</v>
      </c>
      <c r="B5" s="3" t="inlineStr">
        <is>
          <t>COMMENT: SSU_SPO carries spilled numeric cells, VEN_CAR a report header, RUS_SK1 a Russian text fragment. PRD carries the operator remark (SSU_SPO "HIGH WC (65.4%)") or nothing.</t>
        </is>
      </c>
      <c r="C5" s="3" t="inlineStr">
        <is>
          <t>Remarks in ZPRA_T_DLY_PRD-COMMENTS are not usable from the interface rows.</t>
        </is>
      </c>
    </row>
    <row r="6">
      <c r="A6" s="3" t="n">
        <v>5</v>
      </c>
      <c r="B6" s="3" t="inlineStr">
        <is>
          <t>Zero rows: PRD users book explicit 0.000 (SK1 WATER_INJ, VAN GAS_INJ). The class skips zero since 06/10/26, so QAS has no row.</t>
        </is>
      </c>
      <c r="C6" s="3" t="inlineStr">
        <is>
          <t>By design; decide whether the DPR report needs explicit zeros.</t>
        </is>
      </c>
    </row>
    <row r="7">
      <c r="A7" s="3" t="n">
        <v>6</v>
      </c>
      <c r="B7" s="3" t="inlineStr">
        <is>
          <t>RUS_IEC gas now arrives in m3 (940 / 9,810 / 227,091) - the x1,000 finding from 06.10 appears resolved for RUS_IEC. Block MAISKOYE vs MAISKOYEGRP still differs.</t>
        </is>
      </c>
      <c r="C7" s="3" t="inlineStr">
        <is>
          <t>Cannot confirm against PRD - no RUS_IEC rows in the 25.10 PRD extract.</t>
        </is>
      </c>
    </row>
    <row r="8">
      <c r="A8" s="3" t="n">
        <v>7</v>
      </c>
      <c r="B8" s="3" t="inlineStr">
        <is>
          <t>RUS_SK1 LEBEDINSKI INT_CONS 467,496 M3 vs GROSS_PROD 6,661 M3 - 70x the gross.</t>
        </is>
      </c>
      <c r="C8" s="3" t="inlineStr">
        <is>
          <t>Almost certainly a wrong cell in the SK1 gas mapping. No PRD row to compare.</t>
        </is>
      </c>
    </row>
    <row r="9">
      <c r="A9" s="3" t="n">
        <v>8</v>
      </c>
      <c r="B9" s="3" t="inlineStr">
        <is>
          <t>All 17 PRD rows were keyed manually per asset (CREATED_BY = personnel numbers), QAS rows came from a single interface run (SAP_ABAP, 26.10.2026 11:00:03).</t>
        </is>
      </c>
      <c r="C9" s="3" t="inlineStr">
        <is>
          <t>This is a manual-vs-interface comparison, not QAS-vs-PRD data drift.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2026-10-27T07:54:29Z</dcterms:created>
  <dcterms:modified xmlns:dcterms="http://purl.org/dc/terms/" xmlns:xsi="http://www.w3.org/2001/XMLSchema-instance" xsi:type="dcterms:W3CDTF">2026-10-27T07:54:29Z</dcterms:modified>
</cp:coreProperties>
</file>
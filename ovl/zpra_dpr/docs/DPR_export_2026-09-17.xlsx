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Users\ArnavJohri\Downloads\"/>
    </mc:Choice>
  </mc:AlternateContent>
  <xr:revisionPtr revIDLastSave="0" documentId="8_{D31CA4D7-0152-4D7F-94B4-157421D1BCAA}" xr6:coauthVersionLast="47" xr6:coauthVersionMax="47" xr10:uidLastSave="{00000000-0000-0000-0000-000000000000}"/>
  <bookViews>
    <workbookView xWindow="-110" yWindow="-110" windowWidth="19420" windowHeight="10300" xr2:uid="{797197A2-446A-4136-9159-0D907234FFA8}"/>
  </bookViews>
  <sheets>
    <sheet name="DPR ( 01-JAN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8" i="1" l="1"/>
  <c r="F48" i="1"/>
  <c r="E48" i="1"/>
  <c r="D48" i="1"/>
  <c r="C48" i="1"/>
  <c r="B48" i="1"/>
  <c r="G47" i="1"/>
  <c r="E47" i="1"/>
  <c r="C47" i="1"/>
</calcChain>
</file>

<file path=xl/sharedStrings.xml><?xml version="1.0" encoding="utf-8"?>
<sst xmlns="http://schemas.openxmlformats.org/spreadsheetml/2006/main" count="141" uniqueCount="105">
  <si>
    <t>Daily Production Report : 01-JAN-2026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</si>
  <si>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</si>
  <si>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</si>
  <si>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</si>
  <si>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</si>
  <si>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</si>
  <si>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</si>
  <si>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</si>
  <si>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</si>
  <si>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</si>
  <si>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</si>
  <si>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</si>
  <si>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</si>
  <si>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</si>
  <si>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</si>
  <si>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</si>
  <si>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</si>
  <si>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</si>
  <si>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</si>
  <si>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</si>
  <si>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</si>
  <si>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</si>
  <si>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</si>
  <si>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</si>
  <si>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</si>
  <si>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</si>
  <si>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</si>
  <si>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</si>
  <si>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</si>
  <si>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</si>
  <si>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</si>
  <si>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</si>
  <si>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</si>
  <si>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</si>
  <si>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</si>
  <si>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</si>
  <si>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Target : December 2025</t>
  </si>
  <si>
    <t>Prod. : MTD Actual</t>
  </si>
  <si>
    <t>Prod. : Montly Actual</t>
  </si>
  <si>
    <t>Target : 2025 - 26</t>
  </si>
  <si>
    <t>YTD Target : 2025 - 26</t>
  </si>
  <si>
    <t>2025 - 2026</t>
  </si>
  <si>
    <t>2024 - 2025</t>
  </si>
  <si>
    <t>YTD Actual Prod.</t>
  </si>
  <si>
    <t>Asking Rate : 2025 - 26</t>
  </si>
  <si>
    <t>Actual Prod. : 2024 - 25</t>
  </si>
  <si>
    <t>Unit</t>
  </si>
  <si>
    <t>MMT</t>
  </si>
  <si>
    <t>BCM</t>
  </si>
  <si>
    <t>MMTOE</t>
  </si>
  <si>
    <t>YTD Actual Prod.: 2025 - 26</t>
  </si>
  <si>
    <t>2020 - 21</t>
  </si>
  <si>
    <t>2021 - 22</t>
  </si>
  <si>
    <t>2022 - 23</t>
  </si>
  <si>
    <t>2023 - 24</t>
  </si>
  <si>
    <t>2024 - 25</t>
  </si>
  <si>
    <t>Actual Production</t>
  </si>
  <si>
    <t>Remarks</t>
  </si>
  <si>
    <t>Date</t>
  </si>
  <si>
    <t>Comments</t>
  </si>
  <si>
    <t>31.DEC.2025</t>
  </si>
  <si>
    <t>UNITY AND MUNGA EXPORT RESUMED ON 29.12.2025 AND 30.12.2025 RESPECTIVELY.</t>
  </si>
  <si>
    <t>EXPORT OF CRUDE OIL WAS HALTED DUE TO SECURITY CONCERNS REPORTED BY HEGLIG ON 07</t>
  </si>
  <si>
    <t>Report Generated On: 17.SEP.2026 At 09:58:08</t>
  </si>
  <si>
    <t>Production Date</t>
  </si>
  <si>
    <t>30.NOV.2025</t>
  </si>
  <si>
    <t>01.DEC.2025</t>
  </si>
  <si>
    <t>02.DEC.2025</t>
  </si>
  <si>
    <t>03.DEC.2025</t>
  </si>
  <si>
    <t>04.DEC.2025</t>
  </si>
  <si>
    <t>05.DEC.2025</t>
  </si>
  <si>
    <t>06.DEC.2025</t>
  </si>
  <si>
    <t>07.DEC.2025</t>
  </si>
  <si>
    <t>08.DEC.2025</t>
  </si>
  <si>
    <t>09.DEC.2025</t>
  </si>
  <si>
    <t>10.DEC.2025</t>
  </si>
  <si>
    <t>11.DEC.2025</t>
  </si>
  <si>
    <t>12.DEC.2025</t>
  </si>
  <si>
    <t>13.DEC.2025</t>
  </si>
  <si>
    <t>14.DEC.2025</t>
  </si>
  <si>
    <t>15.DEC.2025</t>
  </si>
  <si>
    <t>16.DEC.2025</t>
  </si>
  <si>
    <t>17.DEC.2025</t>
  </si>
  <si>
    <t>18.DEC.2025</t>
  </si>
  <si>
    <t>19.DEC.2025</t>
  </si>
  <si>
    <t>20.DEC.2025</t>
  </si>
  <si>
    <t>21.DEC.2025</t>
  </si>
  <si>
    <t>22.DEC.2025</t>
  </si>
  <si>
    <t>23.DEC.2025</t>
  </si>
  <si>
    <t>24.DEC.2025</t>
  </si>
  <si>
    <t>25.DEC.2025</t>
  </si>
  <si>
    <t>26.DEC.2025</t>
  </si>
  <si>
    <t>27.DEC.2025</t>
  </si>
  <si>
    <t>28.DEC.2025</t>
  </si>
  <si>
    <t>29.DEC.2025</t>
  </si>
  <si>
    <t>30.DEC.2025</t>
  </si>
  <si>
    <t>BE Target</t>
  </si>
  <si>
    <t>ONGC Videsh2025-26</t>
  </si>
  <si>
    <t>Oil, LNG &amp; Condensate ( BOPD )</t>
  </si>
  <si>
    <t>Gas ( MMSCMD )</t>
  </si>
  <si>
    <t>Total (O+OEG) ( BOEPD )</t>
  </si>
  <si>
    <t>Annual</t>
  </si>
  <si>
    <t>YTD</t>
  </si>
  <si>
    <t>Actual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</si>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</sst>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2025 - 2026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30.NOV.2025</c:v>
                </c:pt>
                <c:pt idx="1">
                  <c:v>01.DEC.2025</c:v>
                </c:pt>
                <c:pt idx="2">
                  <c:v>02.DEC.2025</c:v>
                </c:pt>
                <c:pt idx="3">
                  <c:v>03.DEC.2025</c:v>
                </c:pt>
                <c:pt idx="4">
                  <c:v>04.DEC.2025</c:v>
                </c:pt>
                <c:pt idx="5">
                  <c:v>05.DEC.2025</c:v>
                </c:pt>
                <c:pt idx="6">
                  <c:v>06.DEC.2025</c:v>
                </c:pt>
                <c:pt idx="7">
                  <c:v>07.DEC.2025</c:v>
                </c:pt>
                <c:pt idx="8">
                  <c:v>08.DEC.2025</c:v>
                </c:pt>
                <c:pt idx="9">
                  <c:v>09.DEC.2025</c:v>
                </c:pt>
                <c:pt idx="10">
                  <c:v>10.DEC.2025</c:v>
                </c:pt>
                <c:pt idx="11">
                  <c:v>11.DEC.2025</c:v>
                </c:pt>
                <c:pt idx="12">
                  <c:v>12.DEC.2025</c:v>
                </c:pt>
                <c:pt idx="13">
                  <c:v>13.DEC.2025</c:v>
                </c:pt>
                <c:pt idx="14">
                  <c:v>14.DEC.2025</c:v>
                </c:pt>
                <c:pt idx="15">
                  <c:v>15.DEC.2025</c:v>
                </c:pt>
                <c:pt idx="16">
                  <c:v>16.DEC.2025</c:v>
                </c:pt>
                <c:pt idx="17">
                  <c:v>17.DEC.2025</c:v>
                </c:pt>
                <c:pt idx="18">
                  <c:v>18.DEC.2025</c:v>
                </c:pt>
                <c:pt idx="19">
                  <c:v>19.DEC.2025</c:v>
                </c:pt>
                <c:pt idx="20">
                  <c:v>20.DEC.2025</c:v>
                </c:pt>
                <c:pt idx="21">
                  <c:v>21.DEC.2025</c:v>
                </c:pt>
                <c:pt idx="22">
                  <c:v>22.DEC.2025</c:v>
                </c:pt>
                <c:pt idx="23">
                  <c:v>23.DEC.2025</c:v>
                </c:pt>
                <c:pt idx="24">
                  <c:v>24.DEC.2025</c:v>
                </c:pt>
                <c:pt idx="25">
                  <c:v>25.DEC.2025</c:v>
                </c:pt>
                <c:pt idx="26">
                  <c:v>26.DEC.2025</c:v>
                </c:pt>
                <c:pt idx="27">
                  <c:v>27.DEC.2025</c:v>
                </c:pt>
                <c:pt idx="28">
                  <c:v>28.DEC.2025</c:v>
                </c:pt>
                <c:pt idx="29">
                  <c:v>29.DEC.2025</c:v>
                </c:pt>
                <c:pt idx="30">
                  <c:v>30.DEC.2025</c:v>
                </c:pt>
                <c:pt idx="31">
                  <c:v>31.DEC.2025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144914.6946784</c:v>
                </c:pt>
                <c:pt idx="1">
                  <c:v>144533.87440080001</c:v>
                </c:pt>
                <c:pt idx="2">
                  <c:v>141811.81034339999</c:v>
                </c:pt>
                <c:pt idx="3">
                  <c:v>141295.72493170001</c:v>
                </c:pt>
                <c:pt idx="4">
                  <c:v>146473.77482670001</c:v>
                </c:pt>
                <c:pt idx="5">
                  <c:v>145155.11135990001</c:v>
                </c:pt>
                <c:pt idx="6">
                  <c:v>143303.85402190001</c:v>
                </c:pt>
                <c:pt idx="7">
                  <c:v>132495.3267144</c:v>
                </c:pt>
                <c:pt idx="8">
                  <c:v>125991.65179980001</c:v>
                </c:pt>
                <c:pt idx="9">
                  <c:v>125707.0013242</c:v>
                </c:pt>
                <c:pt idx="10">
                  <c:v>129837.9076686</c:v>
                </c:pt>
                <c:pt idx="11">
                  <c:v>128576.64803520001</c:v>
                </c:pt>
                <c:pt idx="12">
                  <c:v>129815.8183358</c:v>
                </c:pt>
                <c:pt idx="13">
                  <c:v>130246.8243137</c:v>
                </c:pt>
                <c:pt idx="14">
                  <c:v>130158.73102200001</c:v>
                </c:pt>
                <c:pt idx="15">
                  <c:v>129851.11068339999</c:v>
                </c:pt>
                <c:pt idx="16">
                  <c:v>127197.7355315</c:v>
                </c:pt>
                <c:pt idx="17">
                  <c:v>125294.5790916</c:v>
                </c:pt>
                <c:pt idx="18">
                  <c:v>128806.1864871</c:v>
                </c:pt>
                <c:pt idx="19">
                  <c:v>122321.6909806</c:v>
                </c:pt>
                <c:pt idx="20">
                  <c:v>119081.37373390001</c:v>
                </c:pt>
                <c:pt idx="21">
                  <c:v>120623.3425829</c:v>
                </c:pt>
                <c:pt idx="22">
                  <c:v>129564.7168223</c:v>
                </c:pt>
                <c:pt idx="23">
                  <c:v>128784.9065673</c:v>
                </c:pt>
                <c:pt idx="24">
                  <c:v>128795.43009740001</c:v>
                </c:pt>
                <c:pt idx="25">
                  <c:v>127510.0286324</c:v>
                </c:pt>
                <c:pt idx="26">
                  <c:v>176271.65027380001</c:v>
                </c:pt>
                <c:pt idx="27">
                  <c:v>177492.45963229999</c:v>
                </c:pt>
                <c:pt idx="28">
                  <c:v>179547.649164</c:v>
                </c:pt>
                <c:pt idx="29">
                  <c:v>183924.43825159999</c:v>
                </c:pt>
                <c:pt idx="30">
                  <c:v>182280.76007829999</c:v>
                </c:pt>
                <c:pt idx="31">
                  <c:v>182290.2128103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C-4961-97F9-E8FAA71F3DAF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30.NOV.2025</c:v>
                </c:pt>
                <c:pt idx="1">
                  <c:v>01.DEC.2025</c:v>
                </c:pt>
                <c:pt idx="2">
                  <c:v>02.DEC.2025</c:v>
                </c:pt>
                <c:pt idx="3">
                  <c:v>03.DEC.2025</c:v>
                </c:pt>
                <c:pt idx="4">
                  <c:v>04.DEC.2025</c:v>
                </c:pt>
                <c:pt idx="5">
                  <c:v>05.DEC.2025</c:v>
                </c:pt>
                <c:pt idx="6">
                  <c:v>06.DEC.2025</c:v>
                </c:pt>
                <c:pt idx="7">
                  <c:v>07.DEC.2025</c:v>
                </c:pt>
                <c:pt idx="8">
                  <c:v>08.DEC.2025</c:v>
                </c:pt>
                <c:pt idx="9">
                  <c:v>09.DEC.2025</c:v>
                </c:pt>
                <c:pt idx="10">
                  <c:v>10.DEC.2025</c:v>
                </c:pt>
                <c:pt idx="11">
                  <c:v>11.DEC.2025</c:v>
                </c:pt>
                <c:pt idx="12">
                  <c:v>12.DEC.2025</c:v>
                </c:pt>
                <c:pt idx="13">
                  <c:v>13.DEC.2025</c:v>
                </c:pt>
                <c:pt idx="14">
                  <c:v>14.DEC.2025</c:v>
                </c:pt>
                <c:pt idx="15">
                  <c:v>15.DEC.2025</c:v>
                </c:pt>
                <c:pt idx="16">
                  <c:v>16.DEC.2025</c:v>
                </c:pt>
                <c:pt idx="17">
                  <c:v>17.DEC.2025</c:v>
                </c:pt>
                <c:pt idx="18">
                  <c:v>18.DEC.2025</c:v>
                </c:pt>
                <c:pt idx="19">
                  <c:v>19.DEC.2025</c:v>
                </c:pt>
                <c:pt idx="20">
                  <c:v>20.DEC.2025</c:v>
                </c:pt>
                <c:pt idx="21">
                  <c:v>21.DEC.2025</c:v>
                </c:pt>
                <c:pt idx="22">
                  <c:v>22.DEC.2025</c:v>
                </c:pt>
                <c:pt idx="23">
                  <c:v>23.DEC.2025</c:v>
                </c:pt>
                <c:pt idx="24">
                  <c:v>24.DEC.2025</c:v>
                </c:pt>
                <c:pt idx="25">
                  <c:v>25.DEC.2025</c:v>
                </c:pt>
                <c:pt idx="26">
                  <c:v>26.DEC.2025</c:v>
                </c:pt>
                <c:pt idx="27">
                  <c:v>27.DEC.2025</c:v>
                </c:pt>
                <c:pt idx="28">
                  <c:v>28.DEC.2025</c:v>
                </c:pt>
                <c:pt idx="29">
                  <c:v>29.DEC.2025</c:v>
                </c:pt>
                <c:pt idx="30">
                  <c:v>30.DEC.2025</c:v>
                </c:pt>
                <c:pt idx="31">
                  <c:v>31.DEC.2025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C-4961-97F9-E8FAA71F3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608031"/>
        <c:axId val="1954602751"/>
      </c:lineChart>
      <c:catAx>
        <c:axId val="1954608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54602751"/>
        <c:crosses val="autoZero"/>
        <c:auto val="1"/>
        <c:lblAlgn val="ctr"/>
        <c:lblOffset val="100"/>
        <c:noMultiLvlLbl val="0"/>
      </c:catAx>
      <c:valAx>
        <c:axId val="1954602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4608031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USERS\ARNAVJOHRI\DOWNLOADS\20260917095409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37BAF-C17E-BFF7-210D-92197C2D8E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A951F-6FF5-3591-7CF8-37A2C8D6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32C7-CD25-410E-B29F-59E989694B8E}">
  <sheetPr>
    <pageSetUpPr fitToPage="1"/>
  </sheetPr>
  <dimension ref="A4:AG70"/>
  <sheetViews>
    <sheetView tabSelected="1" workbookViewId="0">
      <selection activeCell="H3" sqref="H3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7.4446099999999999</v>
      </c>
      <c r="D8" s="23">
        <v>6.664981</v>
      </c>
      <c r="E8" s="23">
        <v>0.64541700000000002</v>
      </c>
      <c r="F8" s="23">
        <v>7.3729490000000002</v>
      </c>
      <c r="G8" s="23">
        <v>6.7799259999999997</v>
      </c>
      <c r="H8" s="23">
        <v>7.7026250000000003</v>
      </c>
      <c r="I8" s="23">
        <v>7.3847940000000003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45991</v>
      </c>
      <c r="B11" s="19"/>
      <c r="C11" s="27">
        <v>342549</v>
      </c>
      <c r="D11" s="27">
        <v>0</v>
      </c>
      <c r="E11" s="27">
        <v>119197.16499999999</v>
      </c>
      <c r="F11" s="27">
        <v>22690</v>
      </c>
      <c r="G11" s="27">
        <v>5438</v>
      </c>
      <c r="H11" s="27">
        <v>2315.3490000000002</v>
      </c>
      <c r="I11" s="28">
        <v>0</v>
      </c>
      <c r="J11" s="27">
        <v>161253.20000000001</v>
      </c>
      <c r="K11" s="27">
        <v>50779.15</v>
      </c>
      <c r="L11" s="27">
        <v>11803</v>
      </c>
      <c r="M11" s="27">
        <v>418419</v>
      </c>
      <c r="N11" s="27">
        <v>7724</v>
      </c>
      <c r="O11" s="27">
        <v>5044</v>
      </c>
      <c r="P11" s="29">
        <v>108285.53792279999</v>
      </c>
      <c r="Q11" s="28">
        <v>0</v>
      </c>
      <c r="R11" s="30">
        <v>0</v>
      </c>
      <c r="S11" s="31">
        <v>12.677053799999999</v>
      </c>
      <c r="T11" s="31">
        <v>0</v>
      </c>
      <c r="U11" s="31">
        <v>4.0979999999999999</v>
      </c>
      <c r="V11" s="31">
        <v>3.8440000000000002E-3</v>
      </c>
      <c r="W11" s="32">
        <v>0</v>
      </c>
      <c r="X11" s="31">
        <v>10.3864023</v>
      </c>
      <c r="Y11" s="31">
        <v>3.5391784999999998</v>
      </c>
      <c r="Z11" s="31">
        <v>0.28569499999999998</v>
      </c>
      <c r="AA11" s="32">
        <v>0</v>
      </c>
      <c r="AB11" s="31">
        <v>10.473549999999999</v>
      </c>
      <c r="AC11" s="31">
        <v>0.23569409999999999</v>
      </c>
      <c r="AD11" s="31">
        <v>9.5750699999999994E-2</v>
      </c>
      <c r="AE11" s="32">
        <v>0</v>
      </c>
      <c r="AF11" s="25">
        <v>5.8233953506500002</v>
      </c>
      <c r="AG11" s="33">
        <v>144914.69467838801</v>
      </c>
    </row>
    <row r="12" spans="1:33" x14ac:dyDescent="0.35">
      <c r="A12" s="19">
        <v>45992</v>
      </c>
      <c r="B12" s="19"/>
      <c r="C12" s="34">
        <v>342070</v>
      </c>
      <c r="D12" s="34">
        <v>0</v>
      </c>
      <c r="E12" s="34">
        <v>122563.095</v>
      </c>
      <c r="F12" s="34">
        <v>22633</v>
      </c>
      <c r="G12" s="34">
        <v>5405</v>
      </c>
      <c r="H12" s="34">
        <v>2316.607</v>
      </c>
      <c r="I12" s="28">
        <v>0</v>
      </c>
      <c r="J12" s="34">
        <v>158211.79999999999</v>
      </c>
      <c r="K12" s="34">
        <v>50908.83</v>
      </c>
      <c r="L12" s="34">
        <v>12219</v>
      </c>
      <c r="M12" s="34">
        <v>436912</v>
      </c>
      <c r="N12" s="34">
        <v>7634</v>
      </c>
      <c r="O12" s="34">
        <v>4913</v>
      </c>
      <c r="P12" s="29">
        <v>108243.63013039999</v>
      </c>
      <c r="Q12" s="28">
        <v>0</v>
      </c>
      <c r="R12" s="30">
        <v>0</v>
      </c>
      <c r="S12" s="35">
        <v>12.6832861</v>
      </c>
      <c r="T12" s="35">
        <v>0</v>
      </c>
      <c r="U12" s="35">
        <v>4.1379999999999999</v>
      </c>
      <c r="V12" s="35">
        <v>3.8679000000000001E-3</v>
      </c>
      <c r="W12" s="32">
        <v>0</v>
      </c>
      <c r="X12" s="35">
        <v>10.213937700000001</v>
      </c>
      <c r="Y12" s="35">
        <v>3.5373087999999999</v>
      </c>
      <c r="Z12" s="35">
        <v>0.28497899999999998</v>
      </c>
      <c r="AA12" s="32">
        <v>0</v>
      </c>
      <c r="AB12" s="35">
        <v>10.336848</v>
      </c>
      <c r="AC12" s="35">
        <v>0.23059489999999999</v>
      </c>
      <c r="AD12" s="35">
        <v>0.12645890000000001</v>
      </c>
      <c r="AE12" s="32">
        <v>0</v>
      </c>
      <c r="AF12" s="25">
        <v>5.7695141924250004</v>
      </c>
      <c r="AG12" s="33">
        <v>144533.874400753</v>
      </c>
    </row>
    <row r="13" spans="1:33" x14ac:dyDescent="0.35">
      <c r="A13" s="19">
        <v>45993</v>
      </c>
      <c r="B13" s="19"/>
      <c r="C13" s="27">
        <v>334564</v>
      </c>
      <c r="D13" s="27">
        <v>0</v>
      </c>
      <c r="E13" s="27">
        <v>124931.67</v>
      </c>
      <c r="F13" s="27">
        <v>22635</v>
      </c>
      <c r="G13" s="27">
        <v>5345</v>
      </c>
      <c r="H13" s="27">
        <v>2310.9459999999999</v>
      </c>
      <c r="I13" s="28">
        <v>0</v>
      </c>
      <c r="J13" s="27">
        <v>148720.79999999999</v>
      </c>
      <c r="K13" s="27">
        <v>50036.53</v>
      </c>
      <c r="L13" s="27">
        <v>13099</v>
      </c>
      <c r="M13" s="27">
        <v>446502</v>
      </c>
      <c r="N13" s="27">
        <v>6846</v>
      </c>
      <c r="O13" s="27">
        <v>5263</v>
      </c>
      <c r="P13" s="29">
        <v>105958.7987244</v>
      </c>
      <c r="Q13" s="28">
        <v>0</v>
      </c>
      <c r="R13" s="30">
        <v>0</v>
      </c>
      <c r="S13" s="31">
        <v>13.6254957</v>
      </c>
      <c r="T13" s="31">
        <v>0</v>
      </c>
      <c r="U13" s="31">
        <v>4.1820000000000004</v>
      </c>
      <c r="V13" s="31">
        <v>3.8403000000000001E-3</v>
      </c>
      <c r="W13" s="32">
        <v>0</v>
      </c>
      <c r="X13" s="31">
        <v>10.216883899999999</v>
      </c>
      <c r="Y13" s="31">
        <v>3.5349857999999998</v>
      </c>
      <c r="Z13" s="31">
        <v>0.285049</v>
      </c>
      <c r="AA13" s="32">
        <v>0</v>
      </c>
      <c r="AB13" s="31">
        <v>9.9576180000000001</v>
      </c>
      <c r="AC13" s="31">
        <v>0.23059489999999999</v>
      </c>
      <c r="AD13" s="31">
        <v>0.12963169999999999</v>
      </c>
      <c r="AE13" s="32">
        <v>0</v>
      </c>
      <c r="AF13" s="25">
        <v>5.7000018472249998</v>
      </c>
      <c r="AG13" s="33">
        <v>141811.81034344499</v>
      </c>
    </row>
    <row r="14" spans="1:33" x14ac:dyDescent="0.35">
      <c r="A14" s="19">
        <v>45994</v>
      </c>
      <c r="B14" s="19"/>
      <c r="C14" s="34">
        <v>332116</v>
      </c>
      <c r="D14" s="34">
        <v>0</v>
      </c>
      <c r="E14" s="34">
        <v>89630.080000000002</v>
      </c>
      <c r="F14" s="34">
        <v>22637</v>
      </c>
      <c r="G14" s="34">
        <v>5419</v>
      </c>
      <c r="H14" s="34">
        <v>2300.2530000000002</v>
      </c>
      <c r="I14" s="28">
        <v>0</v>
      </c>
      <c r="J14" s="34">
        <v>157298.5</v>
      </c>
      <c r="K14" s="34">
        <v>51183.18</v>
      </c>
      <c r="L14" s="34">
        <v>8353</v>
      </c>
      <c r="M14" s="34">
        <v>444133</v>
      </c>
      <c r="N14" s="34">
        <v>7372</v>
      </c>
      <c r="O14" s="34">
        <v>0</v>
      </c>
      <c r="P14" s="29">
        <v>105062.7940356</v>
      </c>
      <c r="Q14" s="28">
        <v>0</v>
      </c>
      <c r="R14" s="30">
        <v>0</v>
      </c>
      <c r="S14" s="35">
        <v>15.1175637</v>
      </c>
      <c r="T14" s="35">
        <v>0</v>
      </c>
      <c r="U14" s="35">
        <v>2.871</v>
      </c>
      <c r="V14" s="35">
        <v>3.8985999999999999E-3</v>
      </c>
      <c r="W14" s="32">
        <v>0</v>
      </c>
      <c r="X14" s="35">
        <v>10.228696899999999</v>
      </c>
      <c r="Y14" s="35">
        <v>3.5305382000000001</v>
      </c>
      <c r="Z14" s="35">
        <v>0.28481800000000002</v>
      </c>
      <c r="AA14" s="32">
        <v>0</v>
      </c>
      <c r="AB14" s="35">
        <v>10.092301000000001</v>
      </c>
      <c r="AC14" s="35">
        <v>0.22804530000000001</v>
      </c>
      <c r="AD14" s="35">
        <v>8.9631699999999995E-2</v>
      </c>
      <c r="AE14" s="32">
        <v>0</v>
      </c>
      <c r="AF14" s="25">
        <v>5.7604023682249998</v>
      </c>
      <c r="AG14" s="33">
        <v>141295.72493173499</v>
      </c>
    </row>
    <row r="15" spans="1:33" x14ac:dyDescent="0.35">
      <c r="A15" s="19">
        <v>45995</v>
      </c>
      <c r="B15" s="19"/>
      <c r="C15" s="27">
        <v>337929</v>
      </c>
      <c r="D15" s="27">
        <v>0</v>
      </c>
      <c r="E15" s="27">
        <v>117965.777</v>
      </c>
      <c r="F15" s="27">
        <v>22617</v>
      </c>
      <c r="G15" s="27">
        <v>5451</v>
      </c>
      <c r="H15" s="27">
        <v>2327.9290000000001</v>
      </c>
      <c r="I15" s="28">
        <v>0</v>
      </c>
      <c r="J15" s="27">
        <v>162683.4</v>
      </c>
      <c r="K15" s="27">
        <v>51228.24</v>
      </c>
      <c r="L15" s="27">
        <v>11659</v>
      </c>
      <c r="M15" s="27">
        <v>436114</v>
      </c>
      <c r="N15" s="27">
        <v>7430</v>
      </c>
      <c r="O15" s="27">
        <v>7018</v>
      </c>
      <c r="P15" s="29">
        <v>110029.97060263999</v>
      </c>
      <c r="Q15" s="28">
        <v>0</v>
      </c>
      <c r="R15" s="30">
        <v>0</v>
      </c>
      <c r="S15" s="31">
        <v>15.2288952</v>
      </c>
      <c r="T15" s="31">
        <v>0</v>
      </c>
      <c r="U15" s="31">
        <v>3.9430000000000001</v>
      </c>
      <c r="V15" s="31">
        <v>3.7804000000000002E-3</v>
      </c>
      <c r="W15" s="32">
        <v>0</v>
      </c>
      <c r="X15" s="31">
        <v>10.2191785</v>
      </c>
      <c r="Y15" s="31">
        <v>3.5295751000000002</v>
      </c>
      <c r="Z15" s="31">
        <v>0.28276000000000001</v>
      </c>
      <c r="AA15" s="32">
        <v>0</v>
      </c>
      <c r="AB15" s="31">
        <v>10.239915999999999</v>
      </c>
      <c r="AC15" s="31">
        <v>0.2344193</v>
      </c>
      <c r="AD15" s="31">
        <v>7.1189799999999998E-2</v>
      </c>
      <c r="AE15" s="32">
        <v>0</v>
      </c>
      <c r="AF15" s="25">
        <v>5.7939275396000003</v>
      </c>
      <c r="AG15" s="33">
        <v>146473.77482672399</v>
      </c>
    </row>
    <row r="16" spans="1:33" x14ac:dyDescent="0.35">
      <c r="A16" s="19">
        <v>45996</v>
      </c>
      <c r="B16" s="19"/>
      <c r="C16" s="34">
        <v>339345</v>
      </c>
      <c r="D16" s="34">
        <v>0</v>
      </c>
      <c r="E16" s="34">
        <v>118512.889</v>
      </c>
      <c r="F16" s="34">
        <v>22499</v>
      </c>
      <c r="G16" s="34">
        <v>5493</v>
      </c>
      <c r="H16" s="34">
        <v>2274.4639999999999</v>
      </c>
      <c r="I16" s="28">
        <v>0</v>
      </c>
      <c r="J16" s="34">
        <v>159963.4</v>
      </c>
      <c r="K16" s="34">
        <v>49363.53</v>
      </c>
      <c r="L16" s="34">
        <v>13371</v>
      </c>
      <c r="M16" s="34">
        <v>431688</v>
      </c>
      <c r="N16" s="34">
        <v>7363</v>
      </c>
      <c r="O16" s="34">
        <v>6860</v>
      </c>
      <c r="P16" s="29">
        <v>108949.62540248</v>
      </c>
      <c r="Q16" s="28">
        <v>0</v>
      </c>
      <c r="R16" s="30">
        <v>0</v>
      </c>
      <c r="S16" s="35">
        <v>14.1189801</v>
      </c>
      <c r="T16" s="35">
        <v>0</v>
      </c>
      <c r="U16" s="35">
        <v>4.0780000000000003</v>
      </c>
      <c r="V16" s="35">
        <v>3.6914000000000001E-3</v>
      </c>
      <c r="W16" s="32">
        <v>0</v>
      </c>
      <c r="X16" s="35">
        <v>10.2205949</v>
      </c>
      <c r="Y16" s="35">
        <v>3.5281020000000001</v>
      </c>
      <c r="Z16" s="35">
        <v>0.28114299999999998</v>
      </c>
      <c r="AA16" s="32">
        <v>0</v>
      </c>
      <c r="AB16" s="35">
        <v>10.245175</v>
      </c>
      <c r="AC16" s="35">
        <v>0.2427762</v>
      </c>
      <c r="AD16" s="35">
        <v>5.5354100000000003E-2</v>
      </c>
      <c r="AE16" s="32">
        <v>0</v>
      </c>
      <c r="AF16" s="25">
        <v>5.7560391029250004</v>
      </c>
      <c r="AG16" s="33">
        <v>145155.11135987801</v>
      </c>
    </row>
    <row r="17" spans="1:33" x14ac:dyDescent="0.35">
      <c r="A17" s="19">
        <v>45997</v>
      </c>
      <c r="B17" s="19"/>
      <c r="C17" s="27">
        <v>336713</v>
      </c>
      <c r="D17" s="27">
        <v>0</v>
      </c>
      <c r="E17" s="27">
        <v>119609.355</v>
      </c>
      <c r="F17" s="27">
        <v>22559</v>
      </c>
      <c r="G17" s="27">
        <v>5396</v>
      </c>
      <c r="H17" s="27">
        <v>2271.319</v>
      </c>
      <c r="I17" s="28">
        <v>0</v>
      </c>
      <c r="J17" s="27">
        <v>160702.20000000001</v>
      </c>
      <c r="K17" s="27">
        <v>49815.07</v>
      </c>
      <c r="L17" s="27">
        <v>8414</v>
      </c>
      <c r="M17" s="27">
        <v>423808</v>
      </c>
      <c r="N17" s="27">
        <v>7219</v>
      </c>
      <c r="O17" s="27">
        <v>6273</v>
      </c>
      <c r="P17" s="29">
        <v>107408.79495359999</v>
      </c>
      <c r="Q17" s="28">
        <v>0</v>
      </c>
      <c r="R17" s="30">
        <v>0</v>
      </c>
      <c r="S17" s="31">
        <v>12.705948899999999</v>
      </c>
      <c r="T17" s="31">
        <v>0</v>
      </c>
      <c r="U17" s="31">
        <v>4.056</v>
      </c>
      <c r="V17" s="31">
        <v>3.7184000000000002E-3</v>
      </c>
      <c r="W17" s="32">
        <v>0</v>
      </c>
      <c r="X17" s="31">
        <v>10.2177054</v>
      </c>
      <c r="Y17" s="31">
        <v>3.5317847000000002</v>
      </c>
      <c r="Z17" s="31">
        <v>0.28147499999999998</v>
      </c>
      <c r="AA17" s="32">
        <v>0</v>
      </c>
      <c r="AB17" s="31">
        <v>10.193989999999999</v>
      </c>
      <c r="AC17" s="31">
        <v>0.2316714</v>
      </c>
      <c r="AD17" s="31">
        <v>7.0538199999999995E-2</v>
      </c>
      <c r="AE17" s="32">
        <v>0</v>
      </c>
      <c r="AF17" s="25">
        <v>5.7066866563250001</v>
      </c>
      <c r="AG17" s="33">
        <v>143303.85402188401</v>
      </c>
    </row>
    <row r="18" spans="1:33" x14ac:dyDescent="0.35">
      <c r="A18" s="19">
        <v>45998</v>
      </c>
      <c r="B18" s="19"/>
      <c r="C18" s="34">
        <v>338251</v>
      </c>
      <c r="D18" s="34">
        <v>0</v>
      </c>
      <c r="E18" s="34">
        <v>119797.478</v>
      </c>
      <c r="F18" s="34">
        <v>22586</v>
      </c>
      <c r="G18" s="34">
        <v>5364</v>
      </c>
      <c r="H18" s="34">
        <v>2250.5619999999999</v>
      </c>
      <c r="I18" s="28">
        <v>0</v>
      </c>
      <c r="J18" s="34">
        <v>162178.6</v>
      </c>
      <c r="K18" s="34">
        <v>1152.0899999999999</v>
      </c>
      <c r="L18" s="34">
        <v>14850</v>
      </c>
      <c r="M18" s="34">
        <v>419308</v>
      </c>
      <c r="N18" s="34">
        <v>7312</v>
      </c>
      <c r="O18" s="34">
        <v>5019</v>
      </c>
      <c r="P18" s="29">
        <v>96535.794898959997</v>
      </c>
      <c r="Q18" s="28">
        <v>0</v>
      </c>
      <c r="R18" s="30">
        <v>0</v>
      </c>
      <c r="S18" s="35">
        <v>12.8093485</v>
      </c>
      <c r="T18" s="35">
        <v>0</v>
      </c>
      <c r="U18" s="35">
        <v>4.0839999999999996</v>
      </c>
      <c r="V18" s="35">
        <v>3.7155999999999999E-3</v>
      </c>
      <c r="W18" s="32">
        <v>0</v>
      </c>
      <c r="X18" s="35">
        <v>10.212634599999999</v>
      </c>
      <c r="Y18" s="35">
        <v>3.5355523999999998</v>
      </c>
      <c r="Z18" s="35">
        <v>0.27953899999999998</v>
      </c>
      <c r="AA18" s="32">
        <v>0</v>
      </c>
      <c r="AB18" s="35">
        <v>10.233223000000001</v>
      </c>
      <c r="AC18" s="35">
        <v>0.22294620000000001</v>
      </c>
      <c r="AD18" s="35">
        <v>7.0736499999999994E-2</v>
      </c>
      <c r="AE18" s="32">
        <v>0</v>
      </c>
      <c r="AF18" s="25">
        <v>5.7169366956249998</v>
      </c>
      <c r="AG18" s="33">
        <v>132495.32671444101</v>
      </c>
    </row>
    <row r="19" spans="1:33" x14ac:dyDescent="0.35">
      <c r="A19" s="19">
        <v>45999</v>
      </c>
      <c r="B19" s="19"/>
      <c r="C19" s="27">
        <v>329634</v>
      </c>
      <c r="D19" s="27">
        <v>0</v>
      </c>
      <c r="E19" s="27">
        <v>114859.345</v>
      </c>
      <c r="F19" s="27">
        <v>22560</v>
      </c>
      <c r="G19" s="27">
        <v>5324</v>
      </c>
      <c r="H19" s="27">
        <v>2319.123</v>
      </c>
      <c r="I19" s="28">
        <v>0</v>
      </c>
      <c r="J19" s="27">
        <v>155813.70000000001</v>
      </c>
      <c r="K19" s="27">
        <v>1058.04</v>
      </c>
      <c r="L19" s="27">
        <v>14423</v>
      </c>
      <c r="M19" s="27">
        <v>309999</v>
      </c>
      <c r="N19" s="27">
        <v>7299</v>
      </c>
      <c r="O19" s="27">
        <v>5045</v>
      </c>
      <c r="P19" s="29">
        <v>90157.861930400002</v>
      </c>
      <c r="Q19" s="28">
        <v>0</v>
      </c>
      <c r="R19" s="30">
        <v>0</v>
      </c>
      <c r="S19" s="31">
        <v>12.6487251</v>
      </c>
      <c r="T19" s="31">
        <v>0</v>
      </c>
      <c r="U19" s="31">
        <v>4</v>
      </c>
      <c r="V19" s="31">
        <v>3.7667E-3</v>
      </c>
      <c r="W19" s="32">
        <v>0</v>
      </c>
      <c r="X19" s="31">
        <v>10.216119000000001</v>
      </c>
      <c r="Y19" s="31">
        <v>3.5354108000000002</v>
      </c>
      <c r="Z19" s="31">
        <v>0.27826200000000001</v>
      </c>
      <c r="AA19" s="32">
        <v>0</v>
      </c>
      <c r="AB19" s="31">
        <v>10.121924999999999</v>
      </c>
      <c r="AC19" s="31">
        <v>0.22776199999999999</v>
      </c>
      <c r="AD19" s="31">
        <v>0.1056941</v>
      </c>
      <c r="AE19" s="32">
        <v>0</v>
      </c>
      <c r="AF19" s="25">
        <v>5.6969459251750001</v>
      </c>
      <c r="AG19" s="33">
        <v>125991.65179975001</v>
      </c>
    </row>
    <row r="20" spans="1:33" x14ac:dyDescent="0.35">
      <c r="A20" s="19">
        <v>46000</v>
      </c>
      <c r="B20" s="19"/>
      <c r="C20" s="34">
        <v>320017</v>
      </c>
      <c r="D20" s="34">
        <v>0</v>
      </c>
      <c r="E20" s="34">
        <v>122328.429</v>
      </c>
      <c r="F20" s="34">
        <v>22565</v>
      </c>
      <c r="G20" s="34">
        <v>5380</v>
      </c>
      <c r="H20" s="34">
        <v>2243.0140000000001</v>
      </c>
      <c r="I20" s="28">
        <v>0</v>
      </c>
      <c r="J20" s="34">
        <v>160977.1</v>
      </c>
      <c r="K20" s="34">
        <v>0</v>
      </c>
      <c r="L20" s="34">
        <v>9838</v>
      </c>
      <c r="M20" s="34">
        <v>309084</v>
      </c>
      <c r="N20" s="34">
        <v>7303</v>
      </c>
      <c r="O20" s="34">
        <v>5028</v>
      </c>
      <c r="P20" s="29">
        <v>89778.166705280004</v>
      </c>
      <c r="Q20" s="28">
        <v>0</v>
      </c>
      <c r="R20" s="30">
        <v>0</v>
      </c>
      <c r="S20" s="35">
        <v>12.576770399999999</v>
      </c>
      <c r="T20" s="35">
        <v>0</v>
      </c>
      <c r="U20" s="35">
        <v>4.1849999999999996</v>
      </c>
      <c r="V20" s="35">
        <v>3.7897E-3</v>
      </c>
      <c r="W20" s="32">
        <v>0</v>
      </c>
      <c r="X20" s="35">
        <v>10.504390900000001</v>
      </c>
      <c r="Y20" s="35">
        <v>3.5308215000000001</v>
      </c>
      <c r="Z20" s="35">
        <v>0.27445000000000003</v>
      </c>
      <c r="AA20" s="32">
        <v>0</v>
      </c>
      <c r="AB20" s="35">
        <v>10.005903999999999</v>
      </c>
      <c r="AC20" s="35">
        <v>0.22832859999999999</v>
      </c>
      <c r="AD20" s="35">
        <v>0.11184139999999999</v>
      </c>
      <c r="AE20" s="32">
        <v>0</v>
      </c>
      <c r="AF20" s="25">
        <v>5.7120563781999998</v>
      </c>
      <c r="AG20" s="33">
        <v>125707.001324158</v>
      </c>
    </row>
    <row r="21" spans="1:33" x14ac:dyDescent="0.35">
      <c r="A21" s="19">
        <v>46001</v>
      </c>
      <c r="B21" s="19"/>
      <c r="C21" s="27">
        <v>343783</v>
      </c>
      <c r="D21" s="27">
        <v>0</v>
      </c>
      <c r="E21" s="27">
        <v>105067.08500000001</v>
      </c>
      <c r="F21" s="27">
        <v>22550</v>
      </c>
      <c r="G21" s="27">
        <v>5260</v>
      </c>
      <c r="H21" s="27">
        <v>2243.643</v>
      </c>
      <c r="I21" s="28">
        <v>0</v>
      </c>
      <c r="J21" s="27">
        <v>162029</v>
      </c>
      <c r="K21" s="27">
        <v>0</v>
      </c>
      <c r="L21" s="27">
        <v>6022</v>
      </c>
      <c r="M21" s="27">
        <v>417251</v>
      </c>
      <c r="N21" s="27">
        <v>7401</v>
      </c>
      <c r="O21" s="27">
        <v>4936</v>
      </c>
      <c r="P21" s="29">
        <v>94016.948887199993</v>
      </c>
      <c r="Q21" s="28">
        <v>0</v>
      </c>
      <c r="R21" s="30">
        <v>0</v>
      </c>
      <c r="S21" s="31">
        <v>12.659489900000001</v>
      </c>
      <c r="T21" s="31">
        <v>0</v>
      </c>
      <c r="U21" s="31">
        <v>3.6219999999999999</v>
      </c>
      <c r="V21" s="31">
        <v>3.7759E-3</v>
      </c>
      <c r="W21" s="32">
        <v>0</v>
      </c>
      <c r="X21" s="31">
        <v>10.4992351</v>
      </c>
      <c r="Y21" s="31">
        <v>3.5366572000000001</v>
      </c>
      <c r="Z21" s="31">
        <v>0.27781299999999998</v>
      </c>
      <c r="AA21" s="32">
        <v>0</v>
      </c>
      <c r="AB21" s="31">
        <v>9.8906759999999991</v>
      </c>
      <c r="AC21" s="31">
        <v>0.22832859999999999</v>
      </c>
      <c r="AD21" s="31">
        <v>0.1324079</v>
      </c>
      <c r="AE21" s="32">
        <v>0</v>
      </c>
      <c r="AF21" s="25">
        <v>5.6949060065749997</v>
      </c>
      <c r="AG21" s="33">
        <v>129837.907668556</v>
      </c>
    </row>
    <row r="22" spans="1:33" x14ac:dyDescent="0.35">
      <c r="A22" s="19">
        <v>46002</v>
      </c>
      <c r="B22" s="19"/>
      <c r="C22" s="34">
        <v>346203</v>
      </c>
      <c r="D22" s="34">
        <v>0</v>
      </c>
      <c r="E22" s="34">
        <v>63068.103000000003</v>
      </c>
      <c r="F22" s="34">
        <v>22546</v>
      </c>
      <c r="G22" s="34">
        <v>5164</v>
      </c>
      <c r="H22" s="34">
        <v>2278.8670000000002</v>
      </c>
      <c r="I22" s="28">
        <v>0</v>
      </c>
      <c r="J22" s="34">
        <v>162247.1</v>
      </c>
      <c r="K22" s="34">
        <v>0</v>
      </c>
      <c r="L22" s="34">
        <v>1200</v>
      </c>
      <c r="M22" s="34">
        <v>409082</v>
      </c>
      <c r="N22" s="34">
        <v>7393</v>
      </c>
      <c r="O22" s="34">
        <v>5100</v>
      </c>
      <c r="P22" s="29">
        <v>92606.078748960004</v>
      </c>
      <c r="Q22" s="28">
        <v>0</v>
      </c>
      <c r="R22" s="30">
        <v>0</v>
      </c>
      <c r="S22" s="35">
        <v>13.5954674</v>
      </c>
      <c r="T22" s="35">
        <v>0</v>
      </c>
      <c r="U22" s="35">
        <v>2.0150000000000001</v>
      </c>
      <c r="V22" s="35">
        <v>3.0536999999999999E-3</v>
      </c>
      <c r="W22" s="32">
        <v>0</v>
      </c>
      <c r="X22" s="35">
        <v>10.5064306</v>
      </c>
      <c r="Y22" s="35">
        <v>3.5315297000000001</v>
      </c>
      <c r="Z22" s="35">
        <v>0.29530699999999999</v>
      </c>
      <c r="AA22" s="32">
        <v>0</v>
      </c>
      <c r="AB22" s="35">
        <v>9.8653230000000001</v>
      </c>
      <c r="AC22" s="35">
        <v>0.23342779999999999</v>
      </c>
      <c r="AD22" s="35">
        <v>0.1044759</v>
      </c>
      <c r="AE22" s="32">
        <v>0</v>
      </c>
      <c r="AF22" s="25">
        <v>5.7186914604499997</v>
      </c>
      <c r="AG22" s="33">
        <v>128576.64803519</v>
      </c>
    </row>
    <row r="23" spans="1:33" x14ac:dyDescent="0.35">
      <c r="A23" s="19">
        <v>46003</v>
      </c>
      <c r="B23" s="19"/>
      <c r="C23" s="27">
        <v>342427</v>
      </c>
      <c r="D23" s="27">
        <v>0</v>
      </c>
      <c r="E23" s="27">
        <v>63145.855000000003</v>
      </c>
      <c r="F23" s="27">
        <v>22512</v>
      </c>
      <c r="G23" s="27">
        <v>5202</v>
      </c>
      <c r="H23" s="27">
        <v>2339.2510000000002</v>
      </c>
      <c r="I23" s="28">
        <v>0</v>
      </c>
      <c r="J23" s="27">
        <v>163873.20000000001</v>
      </c>
      <c r="K23" s="27">
        <v>0</v>
      </c>
      <c r="L23" s="27">
        <v>1200</v>
      </c>
      <c r="M23" s="27">
        <v>426167</v>
      </c>
      <c r="N23" s="27">
        <v>7388</v>
      </c>
      <c r="O23" s="27">
        <v>4964</v>
      </c>
      <c r="P23" s="29">
        <v>93602.631133600007</v>
      </c>
      <c r="Q23" s="28">
        <v>0</v>
      </c>
      <c r="R23" s="30">
        <v>0</v>
      </c>
      <c r="S23" s="31">
        <v>12.5201131</v>
      </c>
      <c r="T23" s="31">
        <v>0</v>
      </c>
      <c r="U23" s="31">
        <v>2.016</v>
      </c>
      <c r="V23" s="31">
        <v>3.7716999999999998E-3</v>
      </c>
      <c r="W23" s="32">
        <v>0</v>
      </c>
      <c r="X23" s="31">
        <v>10.525297500000001</v>
      </c>
      <c r="Y23" s="31">
        <v>3.5115864000000001</v>
      </c>
      <c r="Z23" s="31">
        <v>0.30609799999999998</v>
      </c>
      <c r="AA23" s="32">
        <v>0</v>
      </c>
      <c r="AB23" s="31">
        <v>10.092871000000001</v>
      </c>
      <c r="AC23" s="31">
        <v>0.23116149999999999</v>
      </c>
      <c r="AD23" s="31">
        <v>0.1044759</v>
      </c>
      <c r="AE23" s="32">
        <v>0</v>
      </c>
      <c r="AF23" s="25">
        <v>5.757263466175</v>
      </c>
      <c r="AG23" s="33">
        <v>129815.81833584</v>
      </c>
    </row>
    <row r="24" spans="1:33" x14ac:dyDescent="0.35">
      <c r="A24" s="19">
        <v>46004</v>
      </c>
      <c r="B24" s="19"/>
      <c r="C24" s="34">
        <v>322618</v>
      </c>
      <c r="D24" s="34">
        <v>0</v>
      </c>
      <c r="E24" s="34">
        <v>62019.33</v>
      </c>
      <c r="F24" s="34">
        <v>22538</v>
      </c>
      <c r="G24" s="34">
        <v>5239</v>
      </c>
      <c r="H24" s="34">
        <v>2306.5430000000001</v>
      </c>
      <c r="I24" s="28">
        <v>0</v>
      </c>
      <c r="J24" s="34">
        <v>164737.4</v>
      </c>
      <c r="K24" s="34">
        <v>0</v>
      </c>
      <c r="L24" s="34">
        <v>1102</v>
      </c>
      <c r="M24" s="34">
        <v>435191</v>
      </c>
      <c r="N24" s="34">
        <v>7169</v>
      </c>
      <c r="O24" s="34">
        <v>5167</v>
      </c>
      <c r="P24" s="29">
        <v>93643.715845600003</v>
      </c>
      <c r="Q24" s="28">
        <v>0</v>
      </c>
      <c r="R24" s="30">
        <v>0</v>
      </c>
      <c r="S24" s="35">
        <v>14.2076487</v>
      </c>
      <c r="T24" s="35">
        <v>0</v>
      </c>
      <c r="U24" s="35">
        <v>1.9390000000000001</v>
      </c>
      <c r="V24" s="35">
        <v>3.7919E-3</v>
      </c>
      <c r="W24" s="32">
        <v>0</v>
      </c>
      <c r="X24" s="35">
        <v>10.5309632</v>
      </c>
      <c r="Y24" s="35">
        <v>3.5034844000000001</v>
      </c>
      <c r="Z24" s="35">
        <v>0.301006</v>
      </c>
      <c r="AA24" s="32">
        <v>0</v>
      </c>
      <c r="AB24" s="35">
        <v>10.167344999999999</v>
      </c>
      <c r="AC24" s="35">
        <v>0.20708219999999999</v>
      </c>
      <c r="AD24" s="35">
        <v>0.10844189999999999</v>
      </c>
      <c r="AE24" s="32">
        <v>0</v>
      </c>
      <c r="AF24" s="25">
        <v>5.8192541284750003</v>
      </c>
      <c r="AG24" s="33">
        <v>130246.82431370699</v>
      </c>
    </row>
    <row r="25" spans="1:33" x14ac:dyDescent="0.35">
      <c r="A25" s="19">
        <v>46005</v>
      </c>
      <c r="B25" s="19"/>
      <c r="C25" s="27">
        <v>332330</v>
      </c>
      <c r="D25" s="27">
        <v>0</v>
      </c>
      <c r="E25" s="27">
        <v>60984.362000000001</v>
      </c>
      <c r="F25" s="27">
        <v>22528</v>
      </c>
      <c r="G25" s="27">
        <v>5115</v>
      </c>
      <c r="H25" s="27">
        <v>2292.076</v>
      </c>
      <c r="I25" s="28">
        <v>0</v>
      </c>
      <c r="J25" s="27">
        <v>164052.9</v>
      </c>
      <c r="K25" s="27">
        <v>0</v>
      </c>
      <c r="L25" s="27">
        <v>1200</v>
      </c>
      <c r="M25" s="27">
        <v>439777</v>
      </c>
      <c r="N25" s="27">
        <v>7062</v>
      </c>
      <c r="O25" s="27">
        <v>5012</v>
      </c>
      <c r="P25" s="29">
        <v>93797.266219840007</v>
      </c>
      <c r="Q25" s="28">
        <v>0</v>
      </c>
      <c r="R25" s="30">
        <v>0</v>
      </c>
      <c r="S25" s="31">
        <v>12.8124647</v>
      </c>
      <c r="T25" s="31">
        <v>0</v>
      </c>
      <c r="U25" s="31">
        <v>2.0150000000000001</v>
      </c>
      <c r="V25" s="31">
        <v>3.8249E-3</v>
      </c>
      <c r="W25" s="32">
        <v>0</v>
      </c>
      <c r="X25" s="31">
        <v>10.497252100000001</v>
      </c>
      <c r="Y25" s="31">
        <v>3.5251557999999998</v>
      </c>
      <c r="Z25" s="31">
        <v>0.294854</v>
      </c>
      <c r="AA25" s="32">
        <v>0</v>
      </c>
      <c r="AB25" s="31">
        <v>10.208629999999999</v>
      </c>
      <c r="AC25" s="31">
        <v>0.23229459999999999</v>
      </c>
      <c r="AD25" s="31">
        <v>0.10065159999999999</v>
      </c>
      <c r="AE25" s="32">
        <v>0</v>
      </c>
      <c r="AF25" s="25">
        <v>5.7808370114749996</v>
      </c>
      <c r="AG25" s="33">
        <v>130158.731022017</v>
      </c>
    </row>
    <row r="26" spans="1:33" x14ac:dyDescent="0.35">
      <c r="A26" s="19">
        <v>46006</v>
      </c>
      <c r="B26" s="19"/>
      <c r="C26" s="34">
        <v>328361</v>
      </c>
      <c r="D26" s="34">
        <v>0</v>
      </c>
      <c r="E26" s="34">
        <v>63062.243999999999</v>
      </c>
      <c r="F26" s="34">
        <v>22525</v>
      </c>
      <c r="G26" s="34">
        <v>5133</v>
      </c>
      <c r="H26" s="34">
        <v>2311.5749999999998</v>
      </c>
      <c r="I26" s="28">
        <v>0</v>
      </c>
      <c r="J26" s="34">
        <v>165160.1</v>
      </c>
      <c r="K26" s="34">
        <v>0</v>
      </c>
      <c r="L26" s="34">
        <v>1166</v>
      </c>
      <c r="M26" s="34">
        <v>433361</v>
      </c>
      <c r="N26" s="34">
        <v>7102</v>
      </c>
      <c r="O26" s="34">
        <v>5032</v>
      </c>
      <c r="P26" s="29">
        <v>93747.822156080001</v>
      </c>
      <c r="Q26" s="28">
        <v>0</v>
      </c>
      <c r="R26" s="30">
        <v>0</v>
      </c>
      <c r="S26" s="35">
        <v>12.747592300000001</v>
      </c>
      <c r="T26" s="35">
        <v>0</v>
      </c>
      <c r="U26" s="35">
        <v>2.056</v>
      </c>
      <c r="V26" s="35">
        <v>3.9741000000000004E-3</v>
      </c>
      <c r="W26" s="32">
        <v>0</v>
      </c>
      <c r="X26" s="35">
        <v>10.5022663</v>
      </c>
      <c r="Y26" s="35">
        <v>3.5210482000000001</v>
      </c>
      <c r="Z26" s="35">
        <v>0.29115000000000002</v>
      </c>
      <c r="AA26" s="32">
        <v>0</v>
      </c>
      <c r="AB26" s="35">
        <v>10.090744000000001</v>
      </c>
      <c r="AC26" s="35">
        <v>0.22464590000000001</v>
      </c>
      <c r="AD26" s="35">
        <v>8.98867E-2</v>
      </c>
      <c r="AE26" s="32">
        <v>0</v>
      </c>
      <c r="AF26" s="25">
        <v>5.7397914987750003</v>
      </c>
      <c r="AG26" s="33">
        <v>129851.11068337401</v>
      </c>
    </row>
    <row r="27" spans="1:33" x14ac:dyDescent="0.35">
      <c r="A27" s="19">
        <v>46007</v>
      </c>
      <c r="B27" s="19"/>
      <c r="C27" s="27">
        <v>343686</v>
      </c>
      <c r="D27" s="27">
        <v>0</v>
      </c>
      <c r="E27" s="27">
        <v>64289.457000000002</v>
      </c>
      <c r="F27" s="27">
        <v>22520</v>
      </c>
      <c r="G27" s="27">
        <v>5108</v>
      </c>
      <c r="H27" s="27">
        <v>2280.125</v>
      </c>
      <c r="I27" s="28">
        <v>0</v>
      </c>
      <c r="J27" s="27">
        <v>163914</v>
      </c>
      <c r="K27" s="27">
        <v>0</v>
      </c>
      <c r="L27" s="27">
        <v>971</v>
      </c>
      <c r="M27" s="27">
        <v>360775</v>
      </c>
      <c r="N27" s="27">
        <v>7469</v>
      </c>
      <c r="O27" s="27">
        <v>5044</v>
      </c>
      <c r="P27" s="29">
        <v>90922.175790239999</v>
      </c>
      <c r="Q27" s="28">
        <v>0</v>
      </c>
      <c r="R27" s="30">
        <v>0</v>
      </c>
      <c r="S27" s="31">
        <v>12.816997199999999</v>
      </c>
      <c r="T27" s="31">
        <v>0</v>
      </c>
      <c r="U27" s="31">
        <v>2.056</v>
      </c>
      <c r="V27" s="31">
        <v>3.8982999999999999E-3</v>
      </c>
      <c r="W27" s="32">
        <v>0</v>
      </c>
      <c r="X27" s="31">
        <v>10.5011048</v>
      </c>
      <c r="Y27" s="31">
        <v>3.5216147000000002</v>
      </c>
      <c r="Z27" s="31">
        <v>0.28789999999999999</v>
      </c>
      <c r="AA27" s="32">
        <v>0</v>
      </c>
      <c r="AB27" s="31">
        <v>10.208145</v>
      </c>
      <c r="AC27" s="31">
        <v>0.22634560000000001</v>
      </c>
      <c r="AD27" s="31">
        <v>8.5014199999999998E-2</v>
      </c>
      <c r="AE27" s="32">
        <v>0</v>
      </c>
      <c r="AF27" s="25">
        <v>5.7671796091000003</v>
      </c>
      <c r="AG27" s="33">
        <v>127197.735531479</v>
      </c>
    </row>
    <row r="28" spans="1:33" x14ac:dyDescent="0.35">
      <c r="A28" s="19">
        <v>46008</v>
      </c>
      <c r="B28" s="19"/>
      <c r="C28" s="34">
        <v>335358</v>
      </c>
      <c r="D28" s="34">
        <v>0</v>
      </c>
      <c r="E28" s="34">
        <v>62329.442000000003</v>
      </c>
      <c r="F28" s="34">
        <v>22477</v>
      </c>
      <c r="G28" s="34">
        <v>3949</v>
      </c>
      <c r="H28" s="34">
        <v>2292.076</v>
      </c>
      <c r="I28" s="28">
        <v>0</v>
      </c>
      <c r="J28" s="34">
        <v>164234.9</v>
      </c>
      <c r="K28" s="34">
        <v>0</v>
      </c>
      <c r="L28" s="34">
        <v>794</v>
      </c>
      <c r="M28" s="34">
        <v>339153</v>
      </c>
      <c r="N28" s="34">
        <v>7450</v>
      </c>
      <c r="O28" s="34">
        <v>5036</v>
      </c>
      <c r="P28" s="29">
        <v>89246.948305440004</v>
      </c>
      <c r="Q28" s="28">
        <v>0</v>
      </c>
      <c r="R28" s="30">
        <v>0</v>
      </c>
      <c r="S28" s="35">
        <v>12.768838300000001</v>
      </c>
      <c r="T28" s="35">
        <v>0</v>
      </c>
      <c r="U28" s="35">
        <v>2.0939999999999999</v>
      </c>
      <c r="V28" s="35">
        <v>3.8763999999999999E-3</v>
      </c>
      <c r="W28" s="32">
        <v>0</v>
      </c>
      <c r="X28" s="35">
        <v>10.502039699999999</v>
      </c>
      <c r="Y28" s="35">
        <v>3.5186402000000001</v>
      </c>
      <c r="Z28" s="35">
        <v>0.29180800000000001</v>
      </c>
      <c r="AA28" s="32">
        <v>0</v>
      </c>
      <c r="AB28" s="35">
        <v>10.061970000000001</v>
      </c>
      <c r="AC28" s="35">
        <v>0.21920680000000001</v>
      </c>
      <c r="AD28" s="35">
        <v>8.5835700000000001E-2</v>
      </c>
      <c r="AE28" s="32">
        <v>0</v>
      </c>
      <c r="AF28" s="25">
        <v>5.7309428912750002</v>
      </c>
      <c r="AG28" s="33">
        <v>125294.579091559</v>
      </c>
    </row>
    <row r="29" spans="1:33" x14ac:dyDescent="0.35">
      <c r="A29" s="19">
        <v>46009</v>
      </c>
      <c r="B29" s="19"/>
      <c r="C29" s="27">
        <v>322713</v>
      </c>
      <c r="D29" s="27">
        <v>0</v>
      </c>
      <c r="E29" s="27">
        <v>62603.173999999999</v>
      </c>
      <c r="F29" s="27">
        <v>22462</v>
      </c>
      <c r="G29" s="27">
        <v>4260</v>
      </c>
      <c r="H29" s="27">
        <v>2299.6239999999998</v>
      </c>
      <c r="I29" s="28">
        <v>0</v>
      </c>
      <c r="J29" s="27">
        <v>164888</v>
      </c>
      <c r="K29" s="27">
        <v>0</v>
      </c>
      <c r="L29" s="27">
        <v>793</v>
      </c>
      <c r="M29" s="27">
        <v>419489</v>
      </c>
      <c r="N29" s="27">
        <v>7594</v>
      </c>
      <c r="O29" s="27">
        <v>5000</v>
      </c>
      <c r="P29" s="29">
        <v>92414.709863679993</v>
      </c>
      <c r="Q29" s="28">
        <v>0</v>
      </c>
      <c r="R29" s="30">
        <v>0</v>
      </c>
      <c r="S29" s="31">
        <v>12.6657224</v>
      </c>
      <c r="T29" s="31">
        <v>0</v>
      </c>
      <c r="U29" s="31">
        <v>2.137</v>
      </c>
      <c r="V29" s="31">
        <v>3.8030999999999998E-3</v>
      </c>
      <c r="W29" s="32">
        <v>0</v>
      </c>
      <c r="X29" s="31">
        <v>10.8035411</v>
      </c>
      <c r="Y29" s="31">
        <v>3.5028895000000002</v>
      </c>
      <c r="Z29" s="31">
        <v>0.29237000000000002</v>
      </c>
      <c r="AA29" s="32">
        <v>0</v>
      </c>
      <c r="AB29" s="31">
        <v>10.080277000000001</v>
      </c>
      <c r="AC29" s="31">
        <v>0.21977340000000001</v>
      </c>
      <c r="AD29" s="31">
        <v>9.5014199999999993E-2</v>
      </c>
      <c r="AE29" s="32">
        <v>0</v>
      </c>
      <c r="AF29" s="25">
        <v>5.7856083662</v>
      </c>
      <c r="AG29" s="33">
        <v>128806.186487078</v>
      </c>
    </row>
    <row r="30" spans="1:33" x14ac:dyDescent="0.35">
      <c r="A30" s="19">
        <v>46010</v>
      </c>
      <c r="B30" s="19"/>
      <c r="C30" s="34">
        <v>344142</v>
      </c>
      <c r="D30" s="34">
        <v>0</v>
      </c>
      <c r="E30" s="34">
        <v>64434.290999999997</v>
      </c>
      <c r="F30" s="34">
        <v>22444</v>
      </c>
      <c r="G30" s="34">
        <v>4542</v>
      </c>
      <c r="H30" s="34">
        <v>2256.223</v>
      </c>
      <c r="I30" s="28">
        <v>0</v>
      </c>
      <c r="J30" s="34">
        <v>163039.70000000001</v>
      </c>
      <c r="K30" s="34">
        <v>1547.87</v>
      </c>
      <c r="L30" s="34">
        <v>437</v>
      </c>
      <c r="M30" s="34">
        <v>243799</v>
      </c>
      <c r="N30" s="34">
        <v>7474</v>
      </c>
      <c r="O30" s="34">
        <v>5072</v>
      </c>
      <c r="P30" s="29">
        <v>85939.279805119993</v>
      </c>
      <c r="Q30" s="28">
        <v>0</v>
      </c>
      <c r="R30" s="30">
        <v>0</v>
      </c>
      <c r="S30" s="35">
        <v>12.5796033</v>
      </c>
      <c r="T30" s="35">
        <v>0</v>
      </c>
      <c r="U30" s="35">
        <v>2.1080000000000001</v>
      </c>
      <c r="V30" s="35">
        <v>3.7363000000000001E-3</v>
      </c>
      <c r="W30" s="32">
        <v>0</v>
      </c>
      <c r="X30" s="35">
        <v>10.799716699999999</v>
      </c>
      <c r="Y30" s="35">
        <v>3.5072804999999998</v>
      </c>
      <c r="Z30" s="35">
        <v>0.28078199999999998</v>
      </c>
      <c r="AA30" s="32">
        <v>0</v>
      </c>
      <c r="AB30" s="35">
        <v>10.088798000000001</v>
      </c>
      <c r="AC30" s="35">
        <v>0.22747880000000001</v>
      </c>
      <c r="AD30" s="35">
        <v>0.1190652</v>
      </c>
      <c r="AE30" s="32">
        <v>0</v>
      </c>
      <c r="AF30" s="25">
        <v>5.7841671185249997</v>
      </c>
      <c r="AG30" s="33">
        <v>122321.690980642</v>
      </c>
    </row>
    <row r="31" spans="1:33" x14ac:dyDescent="0.35">
      <c r="A31" s="19">
        <v>46011</v>
      </c>
      <c r="B31" s="19"/>
      <c r="C31" s="27">
        <v>342148</v>
      </c>
      <c r="D31" s="27">
        <v>0</v>
      </c>
      <c r="E31" s="27">
        <v>62606.31</v>
      </c>
      <c r="F31" s="27">
        <v>22435</v>
      </c>
      <c r="G31" s="27">
        <v>4608</v>
      </c>
      <c r="H31" s="27">
        <v>2211.5639999999999</v>
      </c>
      <c r="I31" s="28">
        <v>0</v>
      </c>
      <c r="J31" s="27">
        <v>162010.9</v>
      </c>
      <c r="K31" s="27">
        <v>1159.93</v>
      </c>
      <c r="L31" s="27">
        <v>155</v>
      </c>
      <c r="M31" s="27">
        <v>183472</v>
      </c>
      <c r="N31" s="27">
        <v>7324</v>
      </c>
      <c r="O31" s="27">
        <v>4909</v>
      </c>
      <c r="P31" s="29">
        <v>82931.469889200001</v>
      </c>
      <c r="Q31" s="28">
        <v>0</v>
      </c>
      <c r="R31" s="30">
        <v>0</v>
      </c>
      <c r="S31" s="31">
        <v>12.1201133</v>
      </c>
      <c r="T31" s="31">
        <v>0</v>
      </c>
      <c r="U31" s="31">
        <v>2.1269999999999998</v>
      </c>
      <c r="V31" s="31">
        <v>3.7339999999999999E-3</v>
      </c>
      <c r="W31" s="32">
        <v>0</v>
      </c>
      <c r="X31" s="31">
        <v>10.801133099999999</v>
      </c>
      <c r="Y31" s="31">
        <v>3.5067989000000002</v>
      </c>
      <c r="Z31" s="31">
        <v>0.27583200000000002</v>
      </c>
      <c r="AA31" s="32">
        <v>0</v>
      </c>
      <c r="AB31" s="31">
        <v>10.048431000000001</v>
      </c>
      <c r="AC31" s="31">
        <v>0.24305950000000001</v>
      </c>
      <c r="AD31" s="31">
        <v>9.4079300000000005E-2</v>
      </c>
      <c r="AE31" s="32">
        <v>0</v>
      </c>
      <c r="AF31" s="25">
        <v>5.7472025190249996</v>
      </c>
      <c r="AG31" s="33">
        <v>119081.373733867</v>
      </c>
    </row>
    <row r="32" spans="1:33" x14ac:dyDescent="0.35">
      <c r="A32" s="19">
        <v>46012</v>
      </c>
      <c r="B32" s="19"/>
      <c r="C32" s="34">
        <v>344524</v>
      </c>
      <c r="D32" s="34">
        <v>0</v>
      </c>
      <c r="E32" s="34">
        <v>63973.408000000003</v>
      </c>
      <c r="F32" s="34">
        <v>22442</v>
      </c>
      <c r="G32" s="34">
        <v>4570</v>
      </c>
      <c r="H32" s="34">
        <v>2201.5</v>
      </c>
      <c r="I32" s="28">
        <v>0</v>
      </c>
      <c r="J32" s="34">
        <v>162235.6</v>
      </c>
      <c r="K32" s="34">
        <v>0</v>
      </c>
      <c r="L32" s="34">
        <v>160</v>
      </c>
      <c r="M32" s="34">
        <v>221111</v>
      </c>
      <c r="N32" s="34">
        <v>7399</v>
      </c>
      <c r="O32" s="34">
        <v>5146</v>
      </c>
      <c r="P32" s="29">
        <v>84358.231306560003</v>
      </c>
      <c r="Q32" s="28">
        <v>0</v>
      </c>
      <c r="R32" s="30">
        <v>0</v>
      </c>
      <c r="S32" s="35">
        <v>12.5116148</v>
      </c>
      <c r="T32" s="35">
        <v>0</v>
      </c>
      <c r="U32" s="35">
        <v>2.1280000000000001</v>
      </c>
      <c r="V32" s="35">
        <v>3.7303000000000002E-3</v>
      </c>
      <c r="W32" s="32">
        <v>0</v>
      </c>
      <c r="X32" s="35">
        <v>10.8027195</v>
      </c>
      <c r="Y32" s="35">
        <v>3.5053258</v>
      </c>
      <c r="Z32" s="35">
        <v>0.27465400000000001</v>
      </c>
      <c r="AA32" s="32">
        <v>0</v>
      </c>
      <c r="AB32" s="35">
        <v>10.084706000000001</v>
      </c>
      <c r="AC32" s="35">
        <v>0.2388102</v>
      </c>
      <c r="AD32" s="35">
        <v>9.1728000000000004E-2</v>
      </c>
      <c r="AE32" s="32">
        <v>0</v>
      </c>
      <c r="AF32" s="25">
        <v>5.7655184859000004</v>
      </c>
      <c r="AG32" s="33">
        <v>120623.342582871</v>
      </c>
    </row>
    <row r="33" spans="1:33" x14ac:dyDescent="0.35">
      <c r="A33" s="19">
        <v>46013</v>
      </c>
      <c r="B33" s="19"/>
      <c r="C33" s="27">
        <v>347501</v>
      </c>
      <c r="D33" s="27">
        <v>0</v>
      </c>
      <c r="E33" s="27">
        <v>63556.476000000002</v>
      </c>
      <c r="F33" s="27">
        <v>22421</v>
      </c>
      <c r="G33" s="27">
        <v>4424</v>
      </c>
      <c r="H33" s="27">
        <v>2349.3150000000001</v>
      </c>
      <c r="I33" s="28">
        <v>0</v>
      </c>
      <c r="J33" s="27">
        <v>163151.70000000001</v>
      </c>
      <c r="K33" s="27">
        <v>0</v>
      </c>
      <c r="L33" s="27">
        <v>151</v>
      </c>
      <c r="M33" s="27">
        <v>432793</v>
      </c>
      <c r="N33" s="27">
        <v>7417</v>
      </c>
      <c r="O33" s="27">
        <v>5056</v>
      </c>
      <c r="P33" s="29">
        <v>93173.731024320005</v>
      </c>
      <c r="Q33" s="28">
        <v>0</v>
      </c>
      <c r="R33" s="30">
        <v>0</v>
      </c>
      <c r="S33" s="31">
        <v>12.444192599999999</v>
      </c>
      <c r="T33" s="31">
        <v>0</v>
      </c>
      <c r="U33" s="31">
        <v>2.1259999999999999</v>
      </c>
      <c r="V33" s="31">
        <v>3.7775999999999999E-3</v>
      </c>
      <c r="W33" s="32">
        <v>0</v>
      </c>
      <c r="X33" s="31">
        <v>10.8016431</v>
      </c>
      <c r="Y33" s="31">
        <v>3.5060623</v>
      </c>
      <c r="Z33" s="31">
        <v>0.29374299999999998</v>
      </c>
      <c r="AA33" s="32">
        <v>0</v>
      </c>
      <c r="AB33" s="31">
        <v>10.037618</v>
      </c>
      <c r="AC33" s="31">
        <v>0.2348442</v>
      </c>
      <c r="AD33" s="31">
        <v>0.13073650000000001</v>
      </c>
      <c r="AE33" s="32">
        <v>0</v>
      </c>
      <c r="AF33" s="25">
        <v>5.7855303335499997</v>
      </c>
      <c r="AG33" s="33">
        <v>129564.716822349</v>
      </c>
    </row>
    <row r="34" spans="1:33" x14ac:dyDescent="0.35">
      <c r="A34" s="19">
        <v>46014</v>
      </c>
      <c r="B34" s="19"/>
      <c r="C34" s="34">
        <v>345647</v>
      </c>
      <c r="D34" s="34">
        <v>0</v>
      </c>
      <c r="E34" s="34">
        <v>63454.673000000003</v>
      </c>
      <c r="F34" s="34">
        <v>22435</v>
      </c>
      <c r="G34" s="34">
        <v>5009</v>
      </c>
      <c r="H34" s="34">
        <v>2279.4960000000001</v>
      </c>
      <c r="I34" s="28">
        <v>0</v>
      </c>
      <c r="J34" s="34">
        <v>163340.20000000001</v>
      </c>
      <c r="K34" s="34">
        <v>0</v>
      </c>
      <c r="L34" s="34">
        <v>165</v>
      </c>
      <c r="M34" s="34">
        <v>420527</v>
      </c>
      <c r="N34" s="34">
        <v>7448</v>
      </c>
      <c r="O34" s="34">
        <v>5058</v>
      </c>
      <c r="P34" s="29">
        <v>92917.703841359995</v>
      </c>
      <c r="Q34" s="28">
        <v>0</v>
      </c>
      <c r="R34" s="30">
        <v>0</v>
      </c>
      <c r="S34" s="35">
        <v>12.337110600000001</v>
      </c>
      <c r="T34" s="35">
        <v>0</v>
      </c>
      <c r="U34" s="35">
        <v>2.1629999999999998</v>
      </c>
      <c r="V34" s="35">
        <v>3.7620000000000002E-3</v>
      </c>
      <c r="W34" s="32">
        <v>0</v>
      </c>
      <c r="X34" s="35">
        <v>10.801133099999999</v>
      </c>
      <c r="Y34" s="35">
        <v>3.5068272</v>
      </c>
      <c r="Z34" s="35">
        <v>0.287825</v>
      </c>
      <c r="AA34" s="32">
        <v>0</v>
      </c>
      <c r="AB34" s="35">
        <v>9.8141250000000007</v>
      </c>
      <c r="AC34" s="35">
        <v>0.22861190000000001</v>
      </c>
      <c r="AD34" s="35">
        <v>9.1869699999999999E-2</v>
      </c>
      <c r="AE34" s="32">
        <v>0</v>
      </c>
      <c r="AF34" s="25">
        <v>5.7022579850500001</v>
      </c>
      <c r="AG34" s="33">
        <v>128784.906567324</v>
      </c>
    </row>
    <row r="35" spans="1:33" x14ac:dyDescent="0.35">
      <c r="A35" s="19">
        <v>46015</v>
      </c>
      <c r="B35" s="19"/>
      <c r="C35" s="27">
        <v>339506</v>
      </c>
      <c r="D35" s="27">
        <v>0</v>
      </c>
      <c r="E35" s="27">
        <v>64585.555</v>
      </c>
      <c r="F35" s="27">
        <v>22388</v>
      </c>
      <c r="G35" s="27">
        <v>4908</v>
      </c>
      <c r="H35" s="27">
        <v>2269.4319999999998</v>
      </c>
      <c r="I35" s="28">
        <v>0</v>
      </c>
      <c r="J35" s="27">
        <v>164058.9</v>
      </c>
      <c r="K35" s="27">
        <v>0</v>
      </c>
      <c r="L35" s="27">
        <v>161</v>
      </c>
      <c r="M35" s="27">
        <v>423378</v>
      </c>
      <c r="N35" s="27">
        <v>5531</v>
      </c>
      <c r="O35" s="27">
        <v>5130</v>
      </c>
      <c r="P35" s="29">
        <v>92765.106237600005</v>
      </c>
      <c r="Q35" s="28">
        <v>0</v>
      </c>
      <c r="R35" s="30">
        <v>0</v>
      </c>
      <c r="S35" s="31">
        <v>12.377053800000001</v>
      </c>
      <c r="T35" s="31">
        <v>0</v>
      </c>
      <c r="U35" s="31">
        <v>2.1760000000000002</v>
      </c>
      <c r="V35" s="31">
        <v>3.7724999999999998E-3</v>
      </c>
      <c r="W35" s="32">
        <v>0</v>
      </c>
      <c r="X35" s="31">
        <v>10.8010482</v>
      </c>
      <c r="Y35" s="31">
        <v>3.5070255000000001</v>
      </c>
      <c r="Z35" s="31">
        <v>0.28446199999999999</v>
      </c>
      <c r="AA35" s="32">
        <v>0</v>
      </c>
      <c r="AB35" s="31">
        <v>9.9354060000000004</v>
      </c>
      <c r="AC35" s="31">
        <v>0.20991499999999999</v>
      </c>
      <c r="AD35" s="31">
        <v>8.8356900000000002E-2</v>
      </c>
      <c r="AE35" s="32">
        <v>0</v>
      </c>
      <c r="AF35" s="25">
        <v>5.7281913926500003</v>
      </c>
      <c r="AG35" s="33">
        <v>128795.43009736799</v>
      </c>
    </row>
    <row r="36" spans="1:33" x14ac:dyDescent="0.35">
      <c r="A36" s="19">
        <v>46016</v>
      </c>
      <c r="B36" s="19"/>
      <c r="C36" s="34">
        <v>336479</v>
      </c>
      <c r="D36" s="34">
        <v>0</v>
      </c>
      <c r="E36" s="34">
        <v>63436.446000000004</v>
      </c>
      <c r="F36" s="34">
        <v>20425</v>
      </c>
      <c r="G36" s="34">
        <v>4721</v>
      </c>
      <c r="H36" s="34">
        <v>2304.027</v>
      </c>
      <c r="I36" s="28">
        <v>0</v>
      </c>
      <c r="J36" s="34">
        <v>162958.39999999999</v>
      </c>
      <c r="K36" s="34">
        <v>0</v>
      </c>
      <c r="L36" s="34">
        <v>161</v>
      </c>
      <c r="M36" s="34">
        <v>441861</v>
      </c>
      <c r="N36" s="34">
        <v>5533</v>
      </c>
      <c r="O36" s="34">
        <v>5152</v>
      </c>
      <c r="P36" s="29">
        <v>91703.105554719994</v>
      </c>
      <c r="Q36" s="28">
        <v>0</v>
      </c>
      <c r="R36" s="30">
        <v>0</v>
      </c>
      <c r="S36" s="35">
        <v>12.733427799999999</v>
      </c>
      <c r="T36" s="35">
        <v>0</v>
      </c>
      <c r="U36" s="35">
        <v>2.1659999999999999</v>
      </c>
      <c r="V36" s="35">
        <v>3.2862E-3</v>
      </c>
      <c r="W36" s="32">
        <v>0</v>
      </c>
      <c r="X36" s="35">
        <v>10.947138799999999</v>
      </c>
      <c r="Y36" s="35">
        <v>3.5054107999999999</v>
      </c>
      <c r="Z36" s="35">
        <v>0.29564800000000002</v>
      </c>
      <c r="AA36" s="32">
        <v>0</v>
      </c>
      <c r="AB36" s="35">
        <v>9.6295179999999991</v>
      </c>
      <c r="AC36" s="35">
        <v>0.19206799999999999</v>
      </c>
      <c r="AD36" s="35">
        <v>8.8781899999999997E-2</v>
      </c>
      <c r="AE36" s="32">
        <v>0</v>
      </c>
      <c r="AF36" s="25">
        <v>5.6926745751499999</v>
      </c>
      <c r="AG36" s="33">
        <v>127510.028632413</v>
      </c>
    </row>
    <row r="37" spans="1:33" x14ac:dyDescent="0.35">
      <c r="A37" s="19">
        <v>46017</v>
      </c>
      <c r="B37" s="19"/>
      <c r="C37" s="27">
        <v>343580</v>
      </c>
      <c r="D37" s="27">
        <v>0</v>
      </c>
      <c r="E37" s="27">
        <v>63076.726999999999</v>
      </c>
      <c r="F37" s="27">
        <v>22351</v>
      </c>
      <c r="G37" s="27">
        <v>4610</v>
      </c>
      <c r="H37" s="27">
        <v>2231.692</v>
      </c>
      <c r="I37" s="27">
        <v>163641</v>
      </c>
      <c r="J37" s="27">
        <v>157886.6</v>
      </c>
      <c r="K37" s="27">
        <v>0</v>
      </c>
      <c r="L37" s="27">
        <v>161</v>
      </c>
      <c r="M37" s="27">
        <v>462131</v>
      </c>
      <c r="N37" s="27">
        <v>5540</v>
      </c>
      <c r="O37" s="27">
        <v>5016</v>
      </c>
      <c r="P37" s="29">
        <v>125297.04225663999</v>
      </c>
      <c r="Q37" s="28">
        <v>0</v>
      </c>
      <c r="R37" s="30">
        <v>0</v>
      </c>
      <c r="S37" s="31">
        <v>12.859206800000001</v>
      </c>
      <c r="T37" s="31">
        <v>0</v>
      </c>
      <c r="U37" s="31">
        <v>2.1800000000000002</v>
      </c>
      <c r="V37" s="31">
        <v>3.6424000000000001E-3</v>
      </c>
      <c r="W37" s="32">
        <v>0</v>
      </c>
      <c r="X37" s="31">
        <v>10.9579603</v>
      </c>
      <c r="Y37" s="31">
        <v>3.4969972</v>
      </c>
      <c r="Z37" s="31">
        <v>0.29283799999999999</v>
      </c>
      <c r="AA37" s="31">
        <v>12.148331900000001</v>
      </c>
      <c r="AB37" s="31">
        <v>9.5196470000000009</v>
      </c>
      <c r="AC37" s="31">
        <v>0.18640229999999999</v>
      </c>
      <c r="AD37" s="31">
        <v>0.1121813</v>
      </c>
      <c r="AE37" s="32">
        <v>0</v>
      </c>
      <c r="AF37" s="25">
        <v>8.1040712269000004</v>
      </c>
      <c r="AG37" s="33">
        <v>176271.65027384099</v>
      </c>
    </row>
    <row r="38" spans="1:33" x14ac:dyDescent="0.35">
      <c r="A38" s="19">
        <v>46018</v>
      </c>
      <c r="B38" s="19"/>
      <c r="C38" s="34">
        <v>343651</v>
      </c>
      <c r="D38" s="34">
        <v>0</v>
      </c>
      <c r="E38" s="34">
        <v>64291.095999999998</v>
      </c>
      <c r="F38" s="34">
        <v>22390</v>
      </c>
      <c r="G38" s="34">
        <v>4435</v>
      </c>
      <c r="H38" s="34">
        <v>2210.9349999999999</v>
      </c>
      <c r="I38" s="34">
        <v>171105</v>
      </c>
      <c r="J38" s="34">
        <v>161253.1</v>
      </c>
      <c r="K38" s="34">
        <v>0</v>
      </c>
      <c r="L38" s="34">
        <v>161</v>
      </c>
      <c r="M38" s="34">
        <v>461875</v>
      </c>
      <c r="N38" s="34">
        <v>5502</v>
      </c>
      <c r="O38" s="34">
        <v>5338</v>
      </c>
      <c r="P38" s="29">
        <v>127703.44934272001</v>
      </c>
      <c r="Q38" s="28">
        <v>0</v>
      </c>
      <c r="R38" s="30">
        <v>0</v>
      </c>
      <c r="S38" s="35">
        <v>12.7407933</v>
      </c>
      <c r="T38" s="35">
        <v>0</v>
      </c>
      <c r="U38" s="35">
        <v>2.1669999999999998</v>
      </c>
      <c r="V38" s="35">
        <v>3.6579999999999998E-3</v>
      </c>
      <c r="W38" s="32">
        <v>0</v>
      </c>
      <c r="X38" s="35">
        <v>10.5827762</v>
      </c>
      <c r="Y38" s="35">
        <v>3.5082719999999998</v>
      </c>
      <c r="Z38" s="35">
        <v>0.29159499999999999</v>
      </c>
      <c r="AA38" s="35">
        <v>12.139893499999999</v>
      </c>
      <c r="AB38" s="35">
        <v>9.0815389999999994</v>
      </c>
      <c r="AC38" s="35">
        <v>0.1934844</v>
      </c>
      <c r="AD38" s="35">
        <v>9.4475900000000002E-2</v>
      </c>
      <c r="AE38" s="32">
        <v>0</v>
      </c>
      <c r="AF38" s="25">
        <v>7.9155819220249999</v>
      </c>
      <c r="AG38" s="33">
        <v>177492.459632257</v>
      </c>
    </row>
    <row r="39" spans="1:33" x14ac:dyDescent="0.35">
      <c r="A39" s="19">
        <v>46019</v>
      </c>
      <c r="B39" s="19"/>
      <c r="C39" s="27">
        <v>345777</v>
      </c>
      <c r="D39" s="27">
        <v>0</v>
      </c>
      <c r="E39" s="27">
        <v>63981.578000000001</v>
      </c>
      <c r="F39" s="27">
        <v>22354</v>
      </c>
      <c r="G39" s="27">
        <v>4467</v>
      </c>
      <c r="H39" s="27">
        <v>2213.451</v>
      </c>
      <c r="I39" s="27">
        <v>170956</v>
      </c>
      <c r="J39" s="27">
        <v>160493.9</v>
      </c>
      <c r="K39" s="27">
        <v>13510</v>
      </c>
      <c r="L39" s="27">
        <v>157</v>
      </c>
      <c r="M39" s="27">
        <v>467699</v>
      </c>
      <c r="N39" s="27">
        <v>2949</v>
      </c>
      <c r="O39" s="27">
        <v>5131</v>
      </c>
      <c r="P39" s="29">
        <v>130776.90576096</v>
      </c>
      <c r="Q39" s="28">
        <v>0</v>
      </c>
      <c r="R39" s="30">
        <v>0</v>
      </c>
      <c r="S39" s="31">
        <v>13.3923512</v>
      </c>
      <c r="T39" s="31">
        <v>0</v>
      </c>
      <c r="U39" s="31">
        <v>2.1800000000000002</v>
      </c>
      <c r="V39" s="31">
        <v>3.7353E-3</v>
      </c>
      <c r="W39" s="32">
        <v>0</v>
      </c>
      <c r="X39" s="31">
        <v>9.2229744999999994</v>
      </c>
      <c r="Y39" s="31">
        <v>3.4906231999999999</v>
      </c>
      <c r="Z39" s="31">
        <v>0.29191299999999998</v>
      </c>
      <c r="AA39" s="31">
        <v>12.188853399999999</v>
      </c>
      <c r="AB39" s="31">
        <v>9.2692569999999996</v>
      </c>
      <c r="AC39" s="31">
        <v>0.17648730000000001</v>
      </c>
      <c r="AD39" s="31">
        <v>8.47025E-2</v>
      </c>
      <c r="AE39" s="32">
        <v>0</v>
      </c>
      <c r="AF39" s="25">
        <v>7.7536952946</v>
      </c>
      <c r="AG39" s="33">
        <v>179547.64916399401</v>
      </c>
    </row>
    <row r="40" spans="1:33" x14ac:dyDescent="0.35">
      <c r="A40" s="19">
        <v>46020</v>
      </c>
      <c r="B40" s="19"/>
      <c r="C40" s="34">
        <v>344722</v>
      </c>
      <c r="D40" s="34">
        <v>0</v>
      </c>
      <c r="E40" s="34">
        <v>62520.161</v>
      </c>
      <c r="F40" s="34">
        <v>22276</v>
      </c>
      <c r="G40" s="34">
        <v>4518</v>
      </c>
      <c r="H40" s="34">
        <v>2171.308</v>
      </c>
      <c r="I40" s="34">
        <v>169907</v>
      </c>
      <c r="J40" s="34">
        <v>160483.6</v>
      </c>
      <c r="K40" s="34">
        <v>21779</v>
      </c>
      <c r="L40" s="34">
        <v>163</v>
      </c>
      <c r="M40" s="34">
        <v>466127</v>
      </c>
      <c r="N40" s="34">
        <v>3367</v>
      </c>
      <c r="O40" s="34">
        <v>5145</v>
      </c>
      <c r="P40" s="29">
        <v>132516.33302352001</v>
      </c>
      <c r="Q40" s="28">
        <v>0</v>
      </c>
      <c r="R40" s="30">
        <v>0</v>
      </c>
      <c r="S40" s="35">
        <v>12.7266288</v>
      </c>
      <c r="T40" s="35">
        <v>0</v>
      </c>
      <c r="U40" s="35">
        <v>1.948</v>
      </c>
      <c r="V40" s="35">
        <v>3.6933000000000001E-3</v>
      </c>
      <c r="W40" s="32">
        <v>0</v>
      </c>
      <c r="X40" s="35">
        <v>11.8306232</v>
      </c>
      <c r="Y40" s="35">
        <v>3.4799717000000001</v>
      </c>
      <c r="Z40" s="35">
        <v>0.291765</v>
      </c>
      <c r="AA40" s="35">
        <v>12.1547316</v>
      </c>
      <c r="AB40" s="35">
        <v>9.2513389999999998</v>
      </c>
      <c r="AC40" s="35">
        <v>0.18980169999999999</v>
      </c>
      <c r="AD40" s="35">
        <v>0.1047309</v>
      </c>
      <c r="AE40" s="32">
        <v>0</v>
      </c>
      <c r="AF40" s="25">
        <v>8.1729897024000007</v>
      </c>
      <c r="AG40" s="33">
        <v>183924.438251616</v>
      </c>
    </row>
    <row r="41" spans="1:33" x14ac:dyDescent="0.35">
      <c r="A41" s="19">
        <v>46021</v>
      </c>
      <c r="B41" s="19"/>
      <c r="C41" s="27">
        <v>341127</v>
      </c>
      <c r="D41" s="27">
        <v>0</v>
      </c>
      <c r="E41" s="27">
        <v>64313.135999999999</v>
      </c>
      <c r="F41" s="27">
        <v>22317</v>
      </c>
      <c r="G41" s="27">
        <v>4425</v>
      </c>
      <c r="H41" s="27">
        <v>2227.9180000000001</v>
      </c>
      <c r="I41" s="27">
        <v>168775</v>
      </c>
      <c r="J41" s="27">
        <v>155779.70000000001</v>
      </c>
      <c r="K41" s="27">
        <v>21584.19</v>
      </c>
      <c r="L41" s="27">
        <v>157</v>
      </c>
      <c r="M41" s="27">
        <v>451854</v>
      </c>
      <c r="N41" s="27">
        <v>3376</v>
      </c>
      <c r="O41" s="27">
        <v>5145</v>
      </c>
      <c r="P41" s="29">
        <v>130384.65497552</v>
      </c>
      <c r="Q41" s="28">
        <v>0</v>
      </c>
      <c r="R41" s="30">
        <v>0</v>
      </c>
      <c r="S41" s="31">
        <v>12.646175599999999</v>
      </c>
      <c r="T41" s="31">
        <v>0</v>
      </c>
      <c r="U41" s="31">
        <v>2.2160000000000002</v>
      </c>
      <c r="V41" s="31">
        <v>3.6202000000000001E-3</v>
      </c>
      <c r="W41" s="32">
        <v>0</v>
      </c>
      <c r="X41" s="31">
        <v>11.7047025</v>
      </c>
      <c r="Y41" s="31">
        <v>3.4820679999999999</v>
      </c>
      <c r="Z41" s="31">
        <v>0.291578</v>
      </c>
      <c r="AA41" s="31">
        <v>12.004171100000001</v>
      </c>
      <c r="AB41" s="31">
        <v>9.7406670000000002</v>
      </c>
      <c r="AC41" s="31">
        <v>0.2215297</v>
      </c>
      <c r="AD41" s="31">
        <v>0.1047309</v>
      </c>
      <c r="AE41" s="32">
        <v>0</v>
      </c>
      <c r="AF41" s="25">
        <v>8.2505731483000009</v>
      </c>
      <c r="AG41" s="33">
        <v>182280.760078327</v>
      </c>
    </row>
    <row r="42" spans="1:33" x14ac:dyDescent="0.35">
      <c r="A42" s="19">
        <v>46022</v>
      </c>
      <c r="B42" s="19"/>
      <c r="C42" s="34">
        <v>331819</v>
      </c>
      <c r="D42" s="34">
        <v>0</v>
      </c>
      <c r="E42" s="34">
        <v>63678.625</v>
      </c>
      <c r="F42" s="34">
        <v>22323</v>
      </c>
      <c r="G42" s="34">
        <v>4446</v>
      </c>
      <c r="H42" s="34">
        <v>2205.9029999999998</v>
      </c>
      <c r="I42" s="34">
        <v>175556</v>
      </c>
      <c r="J42" s="34">
        <v>157492.1</v>
      </c>
      <c r="K42" s="34">
        <v>14214.37</v>
      </c>
      <c r="L42" s="34">
        <v>163</v>
      </c>
      <c r="M42" s="34">
        <v>452125</v>
      </c>
      <c r="N42" s="34">
        <v>3526</v>
      </c>
      <c r="O42" s="34">
        <v>5091</v>
      </c>
      <c r="P42" s="29">
        <v>130069.76541000001</v>
      </c>
      <c r="Q42" s="28">
        <v>0</v>
      </c>
      <c r="R42" s="30">
        <v>0</v>
      </c>
      <c r="S42" s="35">
        <v>13.063172700000001</v>
      </c>
      <c r="T42" s="35">
        <v>0</v>
      </c>
      <c r="U42" s="35">
        <v>2.2360000000000002</v>
      </c>
      <c r="V42" s="35">
        <v>3.7009E-3</v>
      </c>
      <c r="W42" s="32">
        <v>0</v>
      </c>
      <c r="X42" s="35">
        <v>11.6238244</v>
      </c>
      <c r="Y42" s="35">
        <v>3.4900283000000001</v>
      </c>
      <c r="Z42" s="35">
        <v>0.29052299999999998</v>
      </c>
      <c r="AA42" s="35">
        <v>12.0348381</v>
      </c>
      <c r="AB42" s="35">
        <v>9.9567549999999994</v>
      </c>
      <c r="AC42" s="35">
        <v>0.1515581</v>
      </c>
      <c r="AD42" s="35">
        <v>9.9971699999999997E-2</v>
      </c>
      <c r="AE42" s="32">
        <v>0</v>
      </c>
      <c r="AF42" s="25">
        <v>8.3021379014749996</v>
      </c>
      <c r="AG42" s="33">
        <v>182290.21281027701</v>
      </c>
    </row>
    <row r="43" spans="1:33" x14ac:dyDescent="0.35">
      <c r="A43" s="36" t="s">
        <v>36</v>
      </c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/>
    </row>
    <row r="44" spans="1:33" x14ac:dyDescent="0.35">
      <c r="A44" s="39" t="s">
        <v>37</v>
      </c>
      <c r="B44" s="40">
        <v>45992</v>
      </c>
      <c r="C44" s="41">
        <v>338023.90322580602</v>
      </c>
      <c r="D44" s="41">
        <v>0</v>
      </c>
      <c r="E44" s="41">
        <v>80150.827483870904</v>
      </c>
      <c r="F44" s="41">
        <v>22417.741935483798</v>
      </c>
      <c r="G44" s="41">
        <v>4925.4838709677397</v>
      </c>
      <c r="H44" s="41">
        <v>2270.6697096774101</v>
      </c>
      <c r="I44" s="41">
        <v>32901.2903225806</v>
      </c>
      <c r="J44" s="41">
        <v>161157.112903225</v>
      </c>
      <c r="K44" s="41">
        <v>12210.995806451599</v>
      </c>
      <c r="L44" s="41">
        <v>3968.5806451612898</v>
      </c>
      <c r="M44" s="41">
        <v>402146.64516129001</v>
      </c>
      <c r="N44" s="41">
        <v>6586.8387096774104</v>
      </c>
      <c r="O44" s="41">
        <v>5067.7096774193496</v>
      </c>
      <c r="P44" s="41">
        <v>101827.758476214</v>
      </c>
      <c r="Q44" s="41">
        <v>0</v>
      </c>
      <c r="R44" s="41">
        <v>0</v>
      </c>
      <c r="S44" s="42">
        <v>12.9948642677419</v>
      </c>
      <c r="T44" s="42">
        <v>0</v>
      </c>
      <c r="U44" s="42">
        <v>2.6905806451612899</v>
      </c>
      <c r="V44" s="42">
        <v>3.7318709677400001E-3</v>
      </c>
      <c r="W44" s="42">
        <v>0</v>
      </c>
      <c r="X44" s="42">
        <v>10.6063118</v>
      </c>
      <c r="Y44" s="42">
        <v>3.5148186064516098</v>
      </c>
      <c r="Z44" s="42">
        <v>0.28754641935483999</v>
      </c>
      <c r="AA44" s="42">
        <v>2.3442199870967699</v>
      </c>
      <c r="AB44" s="42">
        <v>9.9532479677419392</v>
      </c>
      <c r="AC44" s="42">
        <v>0.21914375161290001</v>
      </c>
      <c r="AD44" s="42">
        <v>9.8151325806450002E-2</v>
      </c>
      <c r="AE44" s="42">
        <v>0</v>
      </c>
      <c r="AF44" s="42">
        <v>6.19714763708952</v>
      </c>
      <c r="AG44" s="41">
        <v>140807.81711350699</v>
      </c>
    </row>
    <row r="45" spans="1:33" x14ac:dyDescent="0.35">
      <c r="A45" s="39"/>
      <c r="B45" s="40">
        <v>45627</v>
      </c>
      <c r="C45" s="41">
        <v>351887.64516129001</v>
      </c>
      <c r="D45" s="41">
        <v>28836.893548387001</v>
      </c>
      <c r="E45" s="41">
        <v>0</v>
      </c>
      <c r="F45" s="41">
        <v>18755.6129032258</v>
      </c>
      <c r="G45" s="41">
        <v>4238.6774193548299</v>
      </c>
      <c r="H45" s="41">
        <v>2328.4306129032202</v>
      </c>
      <c r="I45" s="41">
        <v>159786.193548387</v>
      </c>
      <c r="J45" s="41">
        <v>174705.99032258001</v>
      </c>
      <c r="K45" s="41">
        <v>50549.9232258064</v>
      </c>
      <c r="L45" s="41">
        <v>10923.8387096774</v>
      </c>
      <c r="M45" s="41">
        <v>429707.87096774101</v>
      </c>
      <c r="N45" s="41">
        <v>7086.3548387096698</v>
      </c>
      <c r="O45" s="41">
        <v>4396.8064516128998</v>
      </c>
      <c r="P45" s="41">
        <v>148035.56277419301</v>
      </c>
      <c r="Q45" s="41">
        <v>88.219677419354795</v>
      </c>
      <c r="R45" s="41">
        <v>39.6988548387096</v>
      </c>
      <c r="S45" s="42">
        <v>13.423275141935401</v>
      </c>
      <c r="T45" s="42">
        <v>0.29032258064515998</v>
      </c>
      <c r="U45" s="42">
        <v>0</v>
      </c>
      <c r="V45" s="42">
        <v>2.3650741935499998E-3</v>
      </c>
      <c r="W45" s="42">
        <v>0</v>
      </c>
      <c r="X45" s="42">
        <v>10.396362980645099</v>
      </c>
      <c r="Y45" s="42">
        <v>3.0568747032258101</v>
      </c>
      <c r="Z45" s="42">
        <v>0.28105064516129002</v>
      </c>
      <c r="AA45" s="42">
        <v>0</v>
      </c>
      <c r="AB45" s="42">
        <v>11.5030078387096</v>
      </c>
      <c r="AC45" s="42">
        <v>0.23740290967742</v>
      </c>
      <c r="AD45" s="42">
        <v>0.11763867096774</v>
      </c>
      <c r="AE45" s="42">
        <v>0.39429032258065</v>
      </c>
      <c r="AF45" s="42">
        <v>6.2821569697080601</v>
      </c>
      <c r="AG45" s="41">
        <v>187590.028968495</v>
      </c>
    </row>
    <row r="46" spans="1:33" x14ac:dyDescent="0.35">
      <c r="A46" s="43" t="s">
        <v>38</v>
      </c>
      <c r="B46" s="44">
        <v>45962</v>
      </c>
      <c r="C46" s="45">
        <v>336831.73333333299</v>
      </c>
      <c r="D46" s="45">
        <v>17803.433666666599</v>
      </c>
      <c r="E46" s="45">
        <v>119102.985766666</v>
      </c>
      <c r="F46" s="45">
        <v>18590.366666666599</v>
      </c>
      <c r="G46" s="45">
        <v>5223.9333333333298</v>
      </c>
      <c r="H46" s="45">
        <v>2411.06183333333</v>
      </c>
      <c r="I46" s="45">
        <v>0</v>
      </c>
      <c r="J46" s="45">
        <v>164040.61333333299</v>
      </c>
      <c r="K46" s="45">
        <v>41352.014333333304</v>
      </c>
      <c r="L46" s="45">
        <v>12639.9333333333</v>
      </c>
      <c r="M46" s="45">
        <v>427499.33333333302</v>
      </c>
      <c r="N46" s="45">
        <v>7465.1333333333296</v>
      </c>
      <c r="O46" s="45">
        <v>4820.8666666666604</v>
      </c>
      <c r="P46" s="45">
        <v>108859.29101697799</v>
      </c>
      <c r="Q46" s="45">
        <v>0</v>
      </c>
      <c r="R46" s="45">
        <v>0</v>
      </c>
      <c r="S46" s="46">
        <v>12.524787549999999</v>
      </c>
      <c r="T46" s="46">
        <v>0.27033333333332998</v>
      </c>
      <c r="U46" s="46">
        <v>4.1475666666666697</v>
      </c>
      <c r="V46" s="46">
        <v>3.1127066666699998E-3</v>
      </c>
      <c r="W46" s="46">
        <v>0</v>
      </c>
      <c r="X46" s="46">
        <v>10.6694003733333</v>
      </c>
      <c r="Y46" s="46">
        <v>3.56643342666667</v>
      </c>
      <c r="Z46" s="46">
        <v>0.28379376666667</v>
      </c>
      <c r="AA46" s="46">
        <v>0</v>
      </c>
      <c r="AB46" s="46">
        <v>10.402093199999999</v>
      </c>
      <c r="AC46" s="46">
        <v>0.21673276999999999</v>
      </c>
      <c r="AD46" s="46">
        <v>8.5265336666669994E-2</v>
      </c>
      <c r="AE46" s="46">
        <v>0</v>
      </c>
      <c r="AF46" s="46">
        <v>5.9175177692041698</v>
      </c>
      <c r="AG46" s="45">
        <v>146080.477785272</v>
      </c>
    </row>
    <row r="47" spans="1:33" x14ac:dyDescent="0.35">
      <c r="A47" s="47" t="s">
        <v>39</v>
      </c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8"/>
    </row>
    <row r="48" spans="1:33" x14ac:dyDescent="0.35">
      <c r="A48" s="50" t="s">
        <v>40</v>
      </c>
      <c r="B48" s="5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1"/>
    </row>
    <row r="49" spans="1:33" x14ac:dyDescent="0.35">
      <c r="A49" s="53" t="s">
        <v>43</v>
      </c>
      <c r="B49" s="54" t="s">
        <v>41</v>
      </c>
      <c r="C49" s="55">
        <v>329823.89090909</v>
      </c>
      <c r="D49" s="55">
        <v>24570.4875272727</v>
      </c>
      <c r="E49" s="55">
        <v>111449.372392156</v>
      </c>
      <c r="F49" s="55">
        <v>21478.544399999999</v>
      </c>
      <c r="G49" s="55">
        <v>4925.08</v>
      </c>
      <c r="H49" s="55">
        <v>2206.35816727272</v>
      </c>
      <c r="I49" s="55">
        <v>157185.60000000001</v>
      </c>
      <c r="J49" s="55">
        <v>166226.913818181</v>
      </c>
      <c r="K49" s="55">
        <v>44204.4679636363</v>
      </c>
      <c r="L49" s="55">
        <v>10411.1527272727</v>
      </c>
      <c r="M49" s="55">
        <v>412636.20363636297</v>
      </c>
      <c r="N49" s="55">
        <v>7169.3018181818097</v>
      </c>
      <c r="O49" s="55">
        <v>4759.5672727272704</v>
      </c>
      <c r="P49" s="55">
        <v>143545.93791954199</v>
      </c>
      <c r="Q49" s="55">
        <v>152.54490909090899</v>
      </c>
      <c r="R49" s="55">
        <v>68.645209090909006</v>
      </c>
      <c r="S49" s="56">
        <v>10.674876128727201</v>
      </c>
      <c r="T49" s="56">
        <v>0.35516363636364001</v>
      </c>
      <c r="U49" s="56">
        <v>3.8660588235294102</v>
      </c>
      <c r="V49" s="56">
        <v>3.5839785454500001E-3</v>
      </c>
      <c r="W49" s="56">
        <v>0</v>
      </c>
      <c r="X49" s="56">
        <v>10.538356834181799</v>
      </c>
      <c r="Y49" s="56">
        <v>3.1180448098181799</v>
      </c>
      <c r="Z49" s="56">
        <v>0.27158099272726999</v>
      </c>
      <c r="AA49" s="56">
        <v>0.26425752581818002</v>
      </c>
      <c r="AB49" s="56">
        <v>10.278982847272699</v>
      </c>
      <c r="AC49" s="56">
        <v>0.20246654290909</v>
      </c>
      <c r="AD49" s="56">
        <v>7.9636361818179999E-2</v>
      </c>
      <c r="AE49" s="56">
        <v>0.26614545454545002</v>
      </c>
      <c r="AF49" s="56">
        <v>5.9080808983652702</v>
      </c>
      <c r="AG49" s="55">
        <v>180776.41197935099</v>
      </c>
    </row>
    <row r="50" spans="1:33" x14ac:dyDescent="0.35">
      <c r="A50" s="53"/>
      <c r="B50" s="54" t="s">
        <v>42</v>
      </c>
      <c r="C50" s="55">
        <v>342666.74181818101</v>
      </c>
      <c r="D50" s="55">
        <v>24392.486145454499</v>
      </c>
      <c r="E50" s="55">
        <v>0</v>
      </c>
      <c r="F50" s="55">
        <v>24484.404327272699</v>
      </c>
      <c r="G50" s="55">
        <v>4100.4872727272696</v>
      </c>
      <c r="H50" s="55">
        <v>2269.3249054545399</v>
      </c>
      <c r="I50" s="55">
        <v>149346.59272727199</v>
      </c>
      <c r="J50" s="55">
        <v>173278.650545454</v>
      </c>
      <c r="K50" s="55">
        <v>50333.348545454501</v>
      </c>
      <c r="L50" s="55">
        <v>11544.9942545454</v>
      </c>
      <c r="M50" s="55">
        <v>394273.6</v>
      </c>
      <c r="N50" s="55">
        <v>7571.6763636363603</v>
      </c>
      <c r="O50" s="55">
        <v>4173.3818181818096</v>
      </c>
      <c r="P50" s="55">
        <v>138892.02055227201</v>
      </c>
      <c r="Q50" s="55">
        <v>98.369636363636303</v>
      </c>
      <c r="R50" s="55">
        <v>44.266336363636299</v>
      </c>
      <c r="S50" s="56">
        <v>9.8800844690909102</v>
      </c>
      <c r="T50" s="56">
        <v>0.26966181818182</v>
      </c>
      <c r="U50" s="56">
        <v>0</v>
      </c>
      <c r="V50" s="56">
        <v>4.0315327272700003E-3</v>
      </c>
      <c r="W50" s="56">
        <v>0</v>
      </c>
      <c r="X50" s="56">
        <v>10.3885063112727</v>
      </c>
      <c r="Y50" s="56">
        <v>2.9309061036363602</v>
      </c>
      <c r="Z50" s="56">
        <v>0.24741232727272999</v>
      </c>
      <c r="AA50" s="56">
        <v>6.8225571818181798</v>
      </c>
      <c r="AB50" s="56">
        <v>10.7696231054545</v>
      </c>
      <c r="AC50" s="56">
        <v>6.7321312367272697</v>
      </c>
      <c r="AD50" s="56">
        <v>1.5198194192727299</v>
      </c>
      <c r="AE50" s="56">
        <v>1.0973090909090899</v>
      </c>
      <c r="AF50" s="56">
        <v>8.6757898134384508</v>
      </c>
      <c r="AG50" s="55">
        <v>193507.00481516399</v>
      </c>
    </row>
    <row r="51" spans="1:33" x14ac:dyDescent="0.35">
      <c r="A51" s="57" t="s">
        <v>44</v>
      </c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8"/>
    </row>
    <row r="52" spans="1:33" x14ac:dyDescent="0.35">
      <c r="A52" s="60" t="s">
        <v>45</v>
      </c>
      <c r="B52" s="60"/>
      <c r="C52" s="61">
        <v>381257.29315068998</v>
      </c>
      <c r="D52" s="61">
        <v>24887.693389041</v>
      </c>
      <c r="E52" s="61">
        <v>0</v>
      </c>
      <c r="F52" s="61">
        <v>23881.1473424654</v>
      </c>
      <c r="G52" s="61">
        <v>4148.4410958882099</v>
      </c>
      <c r="H52" s="61">
        <v>2222.3192383564301</v>
      </c>
      <c r="I52" s="61">
        <v>150526.48493150499</v>
      </c>
      <c r="J52" s="61">
        <v>172757.92013150701</v>
      </c>
      <c r="K52" s="61">
        <v>50403.9722191775</v>
      </c>
      <c r="L52" s="61">
        <v>11326.5435671252</v>
      </c>
      <c r="M52" s="61">
        <v>396660.10410958697</v>
      </c>
      <c r="N52" s="61">
        <v>7489.8493150684899</v>
      </c>
      <c r="O52" s="61">
        <v>4173.23561643835</v>
      </c>
      <c r="P52" s="61">
        <v>146374.90880223099</v>
      </c>
      <c r="Q52" s="61">
        <v>100.66986301452</v>
      </c>
      <c r="R52" s="61">
        <v>45.301438358082102</v>
      </c>
      <c r="S52" s="62">
        <v>11.9938657547945</v>
      </c>
      <c r="T52" s="62">
        <v>0.27493150356163998</v>
      </c>
      <c r="U52" s="62">
        <v>0</v>
      </c>
      <c r="V52" s="62">
        <v>3.9534254794499997E-3</v>
      </c>
      <c r="W52" s="62">
        <v>2.3608206849319999E-2</v>
      </c>
      <c r="X52" s="62">
        <v>10.5967911024657</v>
      </c>
      <c r="Y52" s="62">
        <v>3.1387776032876702</v>
      </c>
      <c r="Z52" s="62">
        <v>0.25437533397259998</v>
      </c>
      <c r="AA52" s="62">
        <v>9.6305205402739702</v>
      </c>
      <c r="AB52" s="62">
        <v>10.8745847983561</v>
      </c>
      <c r="AC52" s="62">
        <v>0.22001513698629999</v>
      </c>
      <c r="AD52" s="62">
        <v>0.11412868054795</v>
      </c>
      <c r="AE52" s="62">
        <v>0.96861643589041002</v>
      </c>
      <c r="AF52" s="62">
        <v>8.2549694953424702</v>
      </c>
      <c r="AG52" s="61">
        <v>198343.968366293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46</v>
      </c>
      <c r="B54" s="63"/>
      <c r="C54" s="63" t="s">
        <v>47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47</v>
      </c>
      <c r="R54" s="63"/>
      <c r="S54" s="63" t="s">
        <v>48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49</v>
      </c>
    </row>
    <row r="55" spans="1:33" x14ac:dyDescent="0.35">
      <c r="A55" s="65" t="s">
        <v>39</v>
      </c>
      <c r="B55" s="65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</row>
    <row r="56" spans="1:33" x14ac:dyDescent="0.35">
      <c r="A56" s="67" t="s">
        <v>40</v>
      </c>
      <c r="B56" s="67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spans="1:33" x14ac:dyDescent="0.35">
      <c r="A57" s="69" t="s">
        <v>50</v>
      </c>
      <c r="B57" s="69"/>
      <c r="C57" s="70">
        <v>0.35699999999999998</v>
      </c>
      <c r="D57" s="70">
        <v>0.27400000000000002</v>
      </c>
      <c r="E57" s="70">
        <v>6.5268952797999996E-3</v>
      </c>
      <c r="F57" s="70">
        <v>0.56100000000000005</v>
      </c>
      <c r="G57" s="70">
        <v>0.1</v>
      </c>
      <c r="H57" s="70">
        <v>7.8E-2</v>
      </c>
      <c r="I57" s="70">
        <v>0.97199999999999998</v>
      </c>
      <c r="J57" s="70">
        <v>1.5980000000000001</v>
      </c>
      <c r="K57" s="70">
        <v>0.41499999999999998</v>
      </c>
      <c r="L57" s="70">
        <v>0.10100000000000001</v>
      </c>
      <c r="M57" s="70">
        <v>0.59299999999999997</v>
      </c>
      <c r="N57" s="70">
        <v>3.5000000000000003E-2</v>
      </c>
      <c r="O57" s="70">
        <v>0.08</v>
      </c>
      <c r="P57" s="70">
        <v>5.1705268952798003</v>
      </c>
      <c r="Q57" s="70">
        <v>2.6039312199999999E-3</v>
      </c>
      <c r="R57" s="70">
        <v>2.6039312199999999E-3</v>
      </c>
      <c r="S57" s="70">
        <v>8.5000000000000006E-2</v>
      </c>
      <c r="T57" s="70">
        <v>2.5999999999999999E-2</v>
      </c>
      <c r="U57" s="70">
        <v>5.947786E-4</v>
      </c>
      <c r="V57" s="70">
        <v>1E-3</v>
      </c>
      <c r="W57" s="70">
        <v>4.0000000000000001E-3</v>
      </c>
      <c r="X57" s="70">
        <v>0.495</v>
      </c>
      <c r="Y57" s="70">
        <v>0.14399999999999999</v>
      </c>
      <c r="Z57" s="70">
        <v>7.4999999999999997E-2</v>
      </c>
      <c r="AA57" s="70">
        <v>0.39500000000000002</v>
      </c>
      <c r="AB57" s="70">
        <v>0.73599999999999999</v>
      </c>
      <c r="AC57" s="70">
        <v>6.0000000000000001E-3</v>
      </c>
      <c r="AD57" s="70">
        <v>0.01</v>
      </c>
      <c r="AE57" s="70">
        <v>3.7037599999999997E-2</v>
      </c>
      <c r="AF57" s="70">
        <v>2.0146323786</v>
      </c>
      <c r="AG57" s="70">
        <v>7.1877632050997997</v>
      </c>
    </row>
    <row r="58" spans="1:33" x14ac:dyDescent="0.35">
      <c r="A58" s="71" t="s">
        <v>56</v>
      </c>
      <c r="B58" s="72" t="s">
        <v>51</v>
      </c>
      <c r="C58" s="73">
        <v>0.53116243950249997</v>
      </c>
      <c r="D58" s="73">
        <v>0.51802865712190005</v>
      </c>
      <c r="E58" s="73">
        <v>0</v>
      </c>
      <c r="F58" s="73">
        <v>0.37930773177400001</v>
      </c>
      <c r="G58" s="73">
        <v>0.34495581952339999</v>
      </c>
      <c r="H58" s="73">
        <v>0.1635629999988</v>
      </c>
      <c r="I58" s="73">
        <v>2.4477328281449999</v>
      </c>
      <c r="J58" s="73">
        <v>2.8107466400002998</v>
      </c>
      <c r="K58" s="73">
        <v>2.4206854436976002</v>
      </c>
      <c r="L58" s="73">
        <v>0</v>
      </c>
      <c r="M58" s="73">
        <v>0.59685871851969996</v>
      </c>
      <c r="N58" s="73">
        <v>1.6153345779900002E-2</v>
      </c>
      <c r="O58" s="73">
        <v>4.3063639999699997E-2</v>
      </c>
      <c r="P58" s="73">
        <v>10.272258264062801</v>
      </c>
      <c r="Q58" s="73">
        <v>8.863335E-3</v>
      </c>
      <c r="R58" s="73">
        <v>8.863335E-3</v>
      </c>
      <c r="S58" s="73">
        <v>8.4573138699999995E-2</v>
      </c>
      <c r="T58" s="73">
        <v>3.7296719499999999E-2</v>
      </c>
      <c r="U58" s="73">
        <v>0</v>
      </c>
      <c r="V58" s="73">
        <v>6.7149707999999996E-4</v>
      </c>
      <c r="W58" s="73">
        <v>1.1346769200000001E-2</v>
      </c>
      <c r="X58" s="73">
        <v>0.63879086355000003</v>
      </c>
      <c r="Y58" s="73">
        <v>0.330913167565</v>
      </c>
      <c r="Z58" s="73">
        <v>3.8841001600000001E-2</v>
      </c>
      <c r="AA58" s="73">
        <v>0.71459088299999995</v>
      </c>
      <c r="AB58" s="73">
        <v>1.3850370022</v>
      </c>
      <c r="AC58" s="73">
        <v>1.8770639000000001E-3</v>
      </c>
      <c r="AD58" s="73">
        <v>2.44532568E-2</v>
      </c>
      <c r="AE58" s="73">
        <v>1.1461828504</v>
      </c>
      <c r="AF58" s="73">
        <v>4.4145742134950003</v>
      </c>
      <c r="AG58" s="73">
        <v>14.695695812557799</v>
      </c>
    </row>
    <row r="59" spans="1:33" x14ac:dyDescent="0.35">
      <c r="A59" s="71"/>
      <c r="B59" s="72" t="s">
        <v>52</v>
      </c>
      <c r="C59" s="73">
        <v>0.50574823530049995</v>
      </c>
      <c r="D59" s="73">
        <v>0.45265177836129999</v>
      </c>
      <c r="E59" s="73">
        <v>0</v>
      </c>
      <c r="F59" s="73">
        <v>0.44315559400479998</v>
      </c>
      <c r="G59" s="73">
        <v>0.21914233301790001</v>
      </c>
      <c r="H59" s="73">
        <v>0.18657599999819999</v>
      </c>
      <c r="I59" s="73">
        <v>2.18556351828</v>
      </c>
      <c r="J59" s="73">
        <v>2.6806080600006998</v>
      </c>
      <c r="K59" s="73">
        <v>0.27796587775429998</v>
      </c>
      <c r="L59" s="73">
        <v>2.1216535837600001E-2</v>
      </c>
      <c r="M59" s="73">
        <v>0.7276961999996</v>
      </c>
      <c r="N59" s="73">
        <v>5.9716879419600001E-2</v>
      </c>
      <c r="O59" s="73">
        <v>5.25066799998E-2</v>
      </c>
      <c r="P59" s="73">
        <v>7.8125476919743004</v>
      </c>
      <c r="Q59" s="73">
        <v>7.2553500005999999E-3</v>
      </c>
      <c r="R59" s="73">
        <v>7.2553500005999999E-3</v>
      </c>
      <c r="S59" s="73">
        <v>9.9531064099999997E-2</v>
      </c>
      <c r="T59" s="73">
        <v>3.11744724E-2</v>
      </c>
      <c r="U59" s="73">
        <v>0</v>
      </c>
      <c r="V59" s="73">
        <v>9.4640429999999997E-4</v>
      </c>
      <c r="W59" s="73">
        <v>6.9834336E-3</v>
      </c>
      <c r="X59" s="73">
        <v>0.61933886637400004</v>
      </c>
      <c r="Y59" s="73">
        <v>0.27731972387800002</v>
      </c>
      <c r="Z59" s="73">
        <v>0.1002750027</v>
      </c>
      <c r="AA59" s="73">
        <v>0.70981551440000001</v>
      </c>
      <c r="AB59" s="73">
        <v>1.4684396805</v>
      </c>
      <c r="AC59" s="73">
        <v>4.8819468000000001E-3</v>
      </c>
      <c r="AD59" s="73">
        <v>8.5768153999999999E-3</v>
      </c>
      <c r="AE59" s="73">
        <v>0.53936415029999996</v>
      </c>
      <c r="AF59" s="73">
        <v>3.8666470747520001</v>
      </c>
      <c r="AG59" s="73">
        <v>11.686450116726901</v>
      </c>
    </row>
    <row r="60" spans="1:33" x14ac:dyDescent="0.35">
      <c r="A60" s="71"/>
      <c r="B60" s="72" t="s">
        <v>53</v>
      </c>
      <c r="C60" s="73">
        <v>0.45862536142479998</v>
      </c>
      <c r="D60" s="73">
        <v>0.34662770991050001</v>
      </c>
      <c r="E60" s="73">
        <v>0</v>
      </c>
      <c r="F60" s="73">
        <v>0.65409551200600002</v>
      </c>
      <c r="G60" s="73">
        <v>7.7207052510299995E-2</v>
      </c>
      <c r="H60" s="73">
        <v>0.1691660000039</v>
      </c>
      <c r="I60" s="73">
        <v>0.16111269283900001</v>
      </c>
      <c r="J60" s="73">
        <v>2.4631687600003001</v>
      </c>
      <c r="K60" s="73">
        <v>0.2437548475047</v>
      </c>
      <c r="L60" s="73">
        <v>5.7699969975000001E-2</v>
      </c>
      <c r="M60" s="73">
        <v>1.1035464041530001</v>
      </c>
      <c r="N60" s="73">
        <v>5.7970123530500003E-2</v>
      </c>
      <c r="O60" s="73">
        <v>5.2864919999899999E-2</v>
      </c>
      <c r="P60" s="73">
        <v>5.8458393538579001</v>
      </c>
      <c r="Q60" s="73">
        <v>5.2960500004000004E-3</v>
      </c>
      <c r="R60" s="73">
        <v>5.2960500004000004E-3</v>
      </c>
      <c r="S60" s="73">
        <v>7.9138956499999996E-2</v>
      </c>
      <c r="T60" s="73">
        <v>2.1863520300000001E-2</v>
      </c>
      <c r="U60" s="73">
        <v>0</v>
      </c>
      <c r="V60" s="73">
        <v>1.6170035000000001E-3</v>
      </c>
      <c r="W60" s="73">
        <v>2.3245111000000001E-3</v>
      </c>
      <c r="X60" s="73">
        <v>0.7185337222</v>
      </c>
      <c r="Y60" s="73">
        <v>0.2330015953</v>
      </c>
      <c r="Z60" s="73">
        <v>0.117705005</v>
      </c>
      <c r="AA60" s="73">
        <v>0.61024679800000003</v>
      </c>
      <c r="AB60" s="73">
        <v>1.1435139132000001</v>
      </c>
      <c r="AC60" s="73">
        <v>6.6903683999999996E-3</v>
      </c>
      <c r="AD60" s="73">
        <v>8.1769977000000008E-3</v>
      </c>
      <c r="AE60" s="73">
        <v>0.68836905120000003</v>
      </c>
      <c r="AF60" s="73">
        <v>3.6311814424</v>
      </c>
      <c r="AG60" s="73">
        <v>9.4823168462582998</v>
      </c>
    </row>
    <row r="61" spans="1:33" x14ac:dyDescent="0.35">
      <c r="A61" s="71"/>
      <c r="B61" s="72" t="s">
        <v>54</v>
      </c>
      <c r="C61" s="73">
        <v>0.4</v>
      </c>
      <c r="D61" s="73">
        <v>0.39</v>
      </c>
      <c r="E61" s="73">
        <v>0</v>
      </c>
      <c r="F61" s="73">
        <v>0.66012030675699995</v>
      </c>
      <c r="G61" s="73">
        <v>8.5999999999999993E-2</v>
      </c>
      <c r="H61" s="73">
        <v>0.124</v>
      </c>
      <c r="I61" s="73">
        <v>1.6839999999999999</v>
      </c>
      <c r="J61" s="73">
        <v>2.3170000000000002</v>
      </c>
      <c r="K61" s="73">
        <v>0.58299999999999996</v>
      </c>
      <c r="L61" s="73">
        <v>7.5999999999999998E-2</v>
      </c>
      <c r="M61" s="73">
        <v>0.72399999999999998</v>
      </c>
      <c r="N61" s="73">
        <v>5.6000000000000001E-2</v>
      </c>
      <c r="O61" s="73">
        <v>7.4999999999999997E-2</v>
      </c>
      <c r="P61" s="73">
        <v>7.175120306757</v>
      </c>
      <c r="Q61" s="73">
        <v>3.0000000000000001E-3</v>
      </c>
      <c r="R61" s="73">
        <v>3.0000000000000001E-3</v>
      </c>
      <c r="S61" s="73">
        <v>8.2000000000000003E-2</v>
      </c>
      <c r="T61" s="73">
        <v>2.9000000000000001E-2</v>
      </c>
      <c r="U61" s="73">
        <v>0</v>
      </c>
      <c r="V61" s="73">
        <v>1E-3</v>
      </c>
      <c r="W61" s="73">
        <v>3.0000000000000001E-3</v>
      </c>
      <c r="X61" s="73">
        <v>0.65500000000000003</v>
      </c>
      <c r="Y61" s="73">
        <v>0.17799999999999999</v>
      </c>
      <c r="Z61" s="73">
        <v>0.114</v>
      </c>
      <c r="AA61" s="73">
        <v>0.70099999999999996</v>
      </c>
      <c r="AB61" s="73">
        <v>1.1379999999999999</v>
      </c>
      <c r="AC61" s="73">
        <v>8.0000000000000002E-3</v>
      </c>
      <c r="AD61" s="73">
        <v>1.2999999999999999E-2</v>
      </c>
      <c r="AE61" s="73">
        <v>0.41799999999999998</v>
      </c>
      <c r="AF61" s="73">
        <v>3.34</v>
      </c>
      <c r="AG61" s="73">
        <v>10.518120306757</v>
      </c>
    </row>
    <row r="62" spans="1:33" x14ac:dyDescent="0.35">
      <c r="A62" s="71"/>
      <c r="B62" s="72" t="s">
        <v>55</v>
      </c>
      <c r="C62" s="73">
        <v>0.48699999999999999</v>
      </c>
      <c r="D62" s="73">
        <v>0.36599999999999999</v>
      </c>
      <c r="E62" s="73">
        <v>0</v>
      </c>
      <c r="F62" s="73">
        <v>0.82799999999999996</v>
      </c>
      <c r="G62" s="73">
        <v>0.112</v>
      </c>
      <c r="H62" s="73">
        <v>0.105</v>
      </c>
      <c r="I62" s="73">
        <v>1.4830000000000001</v>
      </c>
      <c r="J62" s="73">
        <v>2.2040000000000002</v>
      </c>
      <c r="K62" s="73">
        <v>0.63</v>
      </c>
      <c r="L62" s="73">
        <v>0.14699999999999999</v>
      </c>
      <c r="M62" s="73">
        <v>0.76</v>
      </c>
      <c r="N62" s="73">
        <v>4.8000000000000001E-2</v>
      </c>
      <c r="O62" s="73">
        <v>9.2999999999999999E-2</v>
      </c>
      <c r="P62" s="73">
        <v>7.2629999999999999</v>
      </c>
      <c r="Q62" s="73">
        <v>2E-3</v>
      </c>
      <c r="R62" s="73">
        <v>2E-3</v>
      </c>
      <c r="S62" s="73">
        <v>0.11600000000000001</v>
      </c>
      <c r="T62" s="73">
        <v>2.7E-2</v>
      </c>
      <c r="U62" s="73">
        <v>0</v>
      </c>
      <c r="V62" s="73">
        <v>1E-3</v>
      </c>
      <c r="W62" s="73">
        <v>4.0000000000000001E-3</v>
      </c>
      <c r="X62" s="73">
        <v>0.65700000000000003</v>
      </c>
      <c r="Y62" s="73">
        <v>0.19500000000000001</v>
      </c>
      <c r="Z62" s="73">
        <v>9.2999999999999999E-2</v>
      </c>
      <c r="AA62" s="73">
        <v>0.70299999999999996</v>
      </c>
      <c r="AB62" s="73">
        <v>1.032</v>
      </c>
      <c r="AC62" s="73">
        <v>8.9999999999999993E-3</v>
      </c>
      <c r="AD62" s="73">
        <v>1.7000000000000001E-2</v>
      </c>
      <c r="AE62" s="73">
        <v>0.159</v>
      </c>
      <c r="AF62" s="73">
        <v>3.0129999999999999</v>
      </c>
      <c r="AG62" s="73">
        <v>10.278</v>
      </c>
    </row>
    <row r="64" spans="1:33" ht="17" x14ac:dyDescent="0.4">
      <c r="A64" s="2" t="s">
        <v>57</v>
      </c>
    </row>
    <row r="65" spans="1:9" ht="17" x14ac:dyDescent="0.4">
      <c r="A65" s="3" t="s">
        <v>5</v>
      </c>
      <c r="B65" s="3" t="s">
        <v>58</v>
      </c>
      <c r="C65" s="4" t="s">
        <v>59</v>
      </c>
      <c r="D65" s="4"/>
      <c r="E65" s="4"/>
      <c r="F65" s="4"/>
      <c r="G65" s="4"/>
      <c r="H65" s="4"/>
      <c r="I65" s="4"/>
    </row>
    <row r="66" spans="1:9" x14ac:dyDescent="0.35">
      <c r="A66" s="5" t="s">
        <v>14</v>
      </c>
      <c r="B66" s="5" t="s">
        <v>60</v>
      </c>
      <c r="C66" s="6" t="s">
        <v>61</v>
      </c>
      <c r="D66" s="7"/>
      <c r="E66" s="7"/>
      <c r="F66" s="7"/>
      <c r="G66" s="7"/>
      <c r="H66" s="7"/>
      <c r="I66" s="8"/>
    </row>
    <row r="67" spans="1:9" x14ac:dyDescent="0.35">
      <c r="A67" s="5" t="s">
        <v>15</v>
      </c>
      <c r="B67" s="5" t="s">
        <v>60</v>
      </c>
      <c r="C67" s="6" t="s">
        <v>62</v>
      </c>
      <c r="D67" s="7"/>
      <c r="E67" s="7"/>
      <c r="F67" s="7"/>
      <c r="G67" s="7"/>
      <c r="H67" s="7"/>
      <c r="I67" s="8"/>
    </row>
    <row r="70" spans="1:9" x14ac:dyDescent="0.35">
      <c r="A70" s="9" t="s">
        <v>63</v>
      </c>
      <c r="B70" s="9"/>
      <c r="C70" s="9"/>
      <c r="D70" s="9"/>
      <c r="E70" s="9"/>
    </row>
  </sheetData>
  <mergeCells count="60">
    <mergeCell ref="C65:I65"/>
    <mergeCell ref="A70:E70"/>
    <mergeCell ref="C53:AG53"/>
    <mergeCell ref="A54:B54"/>
    <mergeCell ref="C54:P54"/>
    <mergeCell ref="Q54:R54"/>
    <mergeCell ref="S54:AF54"/>
    <mergeCell ref="A58:A62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9908-38D7-4E3A-AB92-2A99C50888E5}">
  <dimension ref="B2:AH4"/>
  <sheetViews>
    <sheetView workbookViewId="0">
      <selection activeCell="B2" sqref="B2:AH4"/>
    </sheetView>
  </sheetViews>
  <sheetFormatPr defaultRowHeight="14.5" x14ac:dyDescent="0.35"/>
  <sheetData>
    <row r="2" spans="2:34" x14ac:dyDescent="0.35"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60</v>
      </c>
    </row>
    <row r="3" spans="2:34" x14ac:dyDescent="0.35">
      <c r="B3" t="s">
        <v>56</v>
      </c>
      <c r="C3">
        <v>144914.6946784</v>
      </c>
      <c r="D3">
        <v>144533.87440080001</v>
      </c>
      <c r="E3">
        <v>141811.81034339999</v>
      </c>
      <c r="F3">
        <v>141295.72493170001</v>
      </c>
      <c r="G3">
        <v>146473.77482670001</v>
      </c>
      <c r="H3">
        <v>145155.11135990001</v>
      </c>
      <c r="I3">
        <v>143303.85402190001</v>
      </c>
      <c r="J3">
        <v>132495.3267144</v>
      </c>
      <c r="K3">
        <v>125991.65179980001</v>
      </c>
      <c r="L3">
        <v>125707.0013242</v>
      </c>
      <c r="M3">
        <v>129837.9076686</v>
      </c>
      <c r="N3">
        <v>128576.64803520001</v>
      </c>
      <c r="O3">
        <v>129815.8183358</v>
      </c>
      <c r="P3">
        <v>130246.8243137</v>
      </c>
      <c r="Q3">
        <v>130158.73102200001</v>
      </c>
      <c r="R3">
        <v>129851.11068339999</v>
      </c>
      <c r="S3">
        <v>127197.7355315</v>
      </c>
      <c r="T3">
        <v>125294.5790916</v>
      </c>
      <c r="U3">
        <v>128806.1864871</v>
      </c>
      <c r="V3">
        <v>122321.6909806</v>
      </c>
      <c r="W3">
        <v>119081.37373390001</v>
      </c>
      <c r="X3">
        <v>120623.3425829</v>
      </c>
      <c r="Y3">
        <v>129564.7168223</v>
      </c>
      <c r="Z3">
        <v>128784.9065673</v>
      </c>
      <c r="AA3">
        <v>128795.43009740001</v>
      </c>
      <c r="AB3">
        <v>127510.0286324</v>
      </c>
      <c r="AC3">
        <v>176271.65027380001</v>
      </c>
      <c r="AD3">
        <v>177492.45963229999</v>
      </c>
      <c r="AE3">
        <v>179547.649164</v>
      </c>
      <c r="AF3">
        <v>183924.43825159999</v>
      </c>
      <c r="AG3">
        <v>182280.76007829999</v>
      </c>
      <c r="AH3">
        <v>182290.2128103</v>
      </c>
    </row>
    <row r="4" spans="2:34" x14ac:dyDescent="0.35">
      <c r="B4" t="s">
        <v>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88DD-0512-42F6-ADE1-D0FE861045C9}">
  <sheetPr>
    <pageSetUpPr fitToPage="1"/>
  </sheetPr>
  <dimension ref="A45:G48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97</v>
      </c>
      <c r="B45" s="10" t="s">
        <v>98</v>
      </c>
      <c r="C45" s="10"/>
      <c r="D45" s="10" t="s">
        <v>99</v>
      </c>
      <c r="E45" s="10"/>
      <c r="F45" s="10" t="s">
        <v>100</v>
      </c>
      <c r="G45" s="10"/>
    </row>
    <row r="46" spans="1:7" ht="17" x14ac:dyDescent="0.35">
      <c r="A46" s="10"/>
      <c r="B46" s="11" t="s">
        <v>101</v>
      </c>
      <c r="C46" s="11" t="s">
        <v>102</v>
      </c>
      <c r="D46" s="11" t="s">
        <v>101</v>
      </c>
      <c r="E46" s="11" t="s">
        <v>102</v>
      </c>
      <c r="F46" s="11" t="s">
        <v>101</v>
      </c>
      <c r="G46" s="11" t="s">
        <v>102</v>
      </c>
    </row>
    <row r="47" spans="1:7" x14ac:dyDescent="0.35">
      <c r="A47" s="5" t="s">
        <v>103</v>
      </c>
      <c r="B47" s="12" t="s">
        <v>104</v>
      </c>
      <c r="C47" s="12">
        <f>'DPR ( 01-JAN-2026 )'!P49</f>
        <v>143545.93791954199</v>
      </c>
      <c r="D47" s="12" t="s">
        <v>104</v>
      </c>
      <c r="E47" s="12">
        <f>'DPR ( 01-JAN-2026 )'!AF49</f>
        <v>5.9080808983652702</v>
      </c>
      <c r="F47" s="12" t="s">
        <v>104</v>
      </c>
      <c r="G47" s="12">
        <f>'DPR ( 01-JAN-2026 )'!AG49</f>
        <v>180776.41197935099</v>
      </c>
    </row>
    <row r="48" spans="1:7" x14ac:dyDescent="0.35">
      <c r="B48">
        <f>'DPR ( 01-JAN-2026 )'!P47</f>
        <v>0</v>
      </c>
      <c r="C48">
        <f>'DPR ( 01-JAN-2026 )'!P48</f>
        <v>0</v>
      </c>
      <c r="D48">
        <f>'DPR ( 01-JAN-2026 )'!AF47</f>
        <v>0</v>
      </c>
      <c r="E48">
        <f>'DPR ( 01-JAN-2026 )'!AF48</f>
        <v>0</v>
      </c>
      <c r="F48">
        <f>'DPR ( 01-JAN-2026 )'!AG47</f>
        <v>0</v>
      </c>
      <c r="G48">
        <f>'DPR ( 01-JAN-2026 )'!AG48</f>
        <v>0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E438AD449B9458A736DC43D5438E3" ma:contentTypeVersion="11" ma:contentTypeDescription="Create a new document." ma:contentTypeScope="" ma:versionID="7bcd0c56820d7c1a52ff593a66a22ef3">
  <xsd:schema xmlns:xsd="http://www.w3.org/2001/XMLSchema" xmlns:xs="http://www.w3.org/2001/XMLSchema" xmlns:p="http://schemas.microsoft.com/office/2006/metadata/properties" xmlns:ns3="585159b9-3dd9-435c-979f-124c9abf6ab2" targetNamespace="http://schemas.microsoft.com/office/2006/metadata/properties" ma:root="true" ma:fieldsID="3716d4b56a8680380d9ba0a0966f4b97" ns3:_="">
    <xsd:import namespace="585159b9-3dd9-435c-979f-124c9abf6a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159b9-3dd9-435c-979f-124c9abf6a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5159b9-3dd9-435c-979f-124c9abf6ab2" xsi:nil="true"/>
  </documentManagement>
</p:properties>
</file>

<file path=customXml/itemProps1.xml><?xml version="1.0" encoding="utf-8"?>
<ds:datastoreItem xmlns:ds="http://schemas.openxmlformats.org/officeDocument/2006/customXml" ds:itemID="{470A36D4-1FB2-4EB3-AB16-8269AF7FB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5159b9-3dd9-435c-979f-124c9abf6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654D50-EE58-4452-99F9-4C07BD91C1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240E9C-C32E-4FFC-A942-070C8B90C135}">
  <ds:schemaRefs>
    <ds:schemaRef ds:uri="585159b9-3dd9-435c-979f-124c9abf6ab2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( 01-JAN-2026 )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Johri</dc:creator>
  <cp:lastModifiedBy>Arnav Johri</cp:lastModifiedBy>
  <cp:lastPrinted>2026-09-17T04:29:03Z</cp:lastPrinted>
  <dcterms:created xsi:type="dcterms:W3CDTF">2026-09-17T04:24:06Z</dcterms:created>
  <dcterms:modified xsi:type="dcterms:W3CDTF">2026-09-17T04:32:59Z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0x010100E13E438AD449B9458A736DC43D5438E3</vt:lpwstr>
  </property>
</Properties>
</file>
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india365-my.sharepoint.com/personal/satyendrasingh1_kpmg_com1/Documents/Astral/Functional specification_Phase2_RICEFW/Overall CC MIS (Summary wise and customer wise)/Approved MIS &amp; Z table)/"/>
    </mc:Choice>
  </mc:AlternateContent>
  <xr:revisionPtr revIDLastSave="3" documentId="8_{2236CD3B-580D-4072-BEA8-699CD35FFD18}" xr6:coauthVersionLast="47" xr6:coauthVersionMax="47" xr10:uidLastSave="{043D374E-34E0-4A38-9BAF-8FD9B81E87FF}"/>
  <bookViews>
    <workbookView xWindow="-110" yWindow="-110" windowWidth="19420" windowHeight="11500" activeTab="2" xr2:uid="{5F9359B1-B8F2-4EB5-8136-F696F053E89D}"/>
  </bookViews>
  <sheets>
    <sheet name="Selection screen" sheetId="2" r:id="rId1"/>
    <sheet name="Logic_input" sheetId="5" r:id="rId2"/>
    <sheet name="Logic output" sheetId="1" r:id="rId3"/>
    <sheet name="T code and Z table lis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10" i="1" l="1"/>
  <c r="BR5" i="1"/>
  <c r="BS5" i="1" s="1"/>
</calcChain>
</file>

<file path=xl/sharedStrings.xml><?xml version="1.0" encoding="utf-8"?>
<sst xmlns="http://schemas.openxmlformats.org/spreadsheetml/2006/main" count="440" uniqueCount="194">
  <si>
    <t>Opening Date</t>
  </si>
  <si>
    <t>Party Code</t>
  </si>
  <si>
    <t>Name</t>
  </si>
  <si>
    <t>Customer Group 1</t>
  </si>
  <si>
    <t>Customer Group 2</t>
  </si>
  <si>
    <t>Active/Inactive</t>
  </si>
  <si>
    <t xml:space="preserve">City </t>
  </si>
  <si>
    <t>State</t>
  </si>
  <si>
    <t>Buying group</t>
  </si>
  <si>
    <t>Security Deposit</t>
  </si>
  <si>
    <t>Add. Security Deposit</t>
  </si>
  <si>
    <t>Credit limit</t>
  </si>
  <si>
    <t>C.F Limit</t>
  </si>
  <si>
    <t>C.F Child Limit</t>
  </si>
  <si>
    <t>Total Credit limit (Astral+ CF)</t>
  </si>
  <si>
    <t>L1</t>
  </si>
  <si>
    <t>L2</t>
  </si>
  <si>
    <t>L3</t>
  </si>
  <si>
    <t>L5</t>
  </si>
  <si>
    <t>L6</t>
  </si>
  <si>
    <t>Net Sales of Last FY</t>
  </si>
  <si>
    <t>Net Sales – Last Quarter of Previous Financial Year (FY)</t>
  </si>
  <si>
    <t>Net Sales – Last Quarter of Current Financial Year (FY)</t>
  </si>
  <si>
    <t>Default Invoice % – Previous Financial Year (FY)</t>
  </si>
  <si>
    <t>Default Invoice % – Current Year (FY)</t>
  </si>
  <si>
    <t>Average Monthly Net Sales – Last Quarter  Current Year (FY)</t>
  </si>
  <si>
    <t>CEI %
Previous Financial Year (FY)</t>
  </si>
  <si>
    <t>CEI %
Current Year (FY)</t>
  </si>
  <si>
    <t>Avg. clearing days Previous Financial Year (FY)</t>
  </si>
  <si>
    <t>Avg. clearing days 
Current Year (FY)</t>
  </si>
  <si>
    <t>Total OS as on last date of month of Last quarter current year</t>
  </si>
  <si>
    <t>Total OD as on last date of month of Last quarter current year</t>
  </si>
  <si>
    <t>Total Critical OD as on last date of month of Last quarter current year</t>
  </si>
  <si>
    <t>Total Legal cases as on last date of month of Last quarter current year</t>
  </si>
  <si>
    <t>Total Exposure in times</t>
  </si>
  <si>
    <t>System</t>
  </si>
  <si>
    <t>Already maintain system</t>
  </si>
  <si>
    <t>System (Sp.GL Q)</t>
  </si>
  <si>
    <t>System (Sp.GL I)</t>
  </si>
  <si>
    <t>System calculation</t>
  </si>
  <si>
    <t>Search term</t>
  </si>
  <si>
    <t>Company code</t>
  </si>
  <si>
    <t>Sales organization</t>
  </si>
  <si>
    <t>Division</t>
  </si>
  <si>
    <t>Customer group 1</t>
  </si>
  <si>
    <t>Customer code</t>
  </si>
  <si>
    <t>Last FY</t>
  </si>
  <si>
    <t>Quarter of Previous Financial Year (FY)</t>
  </si>
  <si>
    <t>Quarter of Current Financial Year (FY)</t>
  </si>
  <si>
    <t>Net Sales – Last Month of Previous Financial Year (FY)</t>
  </si>
  <si>
    <t>Net Sales – Last Month of Current Financial Year (FY)</t>
  </si>
  <si>
    <t>Value in Lakh*</t>
  </si>
  <si>
    <t>Month of Previous Financial Year (FY)</t>
  </si>
  <si>
    <t>Month of Current Financial Year (FY)</t>
  </si>
  <si>
    <t>e.g "Q-1"</t>
  </si>
  <si>
    <t>e.g "Q-2"</t>
  </si>
  <si>
    <t>e.g  "2025-26"</t>
  </si>
  <si>
    <t>Current FY</t>
  </si>
  <si>
    <t>e.g  "2026-27"</t>
  </si>
  <si>
    <t>June'25</t>
  </si>
  <si>
    <t>June'26</t>
  </si>
  <si>
    <t>Net and Gross Sale as per date range</t>
  </si>
  <si>
    <t>1-4-25 to 30-6-26</t>
  </si>
  <si>
    <t>Net Sale as per selection date range</t>
  </si>
  <si>
    <t>Gross Sale as per selection date range</t>
  </si>
  <si>
    <t>ZSD_CUST</t>
  </si>
  <si>
    <t>Note-</t>
  </si>
  <si>
    <t>Name 1 + Name 2</t>
  </si>
  <si>
    <t>•If the MPC Date is blank, update the Creation Date as customer creation date.
•Otherwise, update the Creation date as a MPC Date.</t>
  </si>
  <si>
    <t>Billing Block Status</t>
  </si>
  <si>
    <t>Dealer/
Distributor</t>
  </si>
  <si>
    <t>Old/New</t>
  </si>
  <si>
    <r>
      <rPr>
        <b/>
        <sz val="10"/>
        <color rgb="FFFF0000"/>
        <rFont val="Aptos"/>
        <family val="2"/>
      </rPr>
      <t>Paint Business</t>
    </r>
    <r>
      <rPr>
        <sz val="10"/>
        <color theme="1"/>
        <rFont val="Aptos"/>
        <family val="2"/>
      </rPr>
      <t xml:space="preserve">
</t>
    </r>
    <r>
      <rPr>
        <b/>
        <sz val="10"/>
        <color theme="1"/>
        <rFont val="Aptos"/>
        <family val="2"/>
      </rPr>
      <t xml:space="preserve">Based on Customer Group - 2
</t>
    </r>
    <r>
      <rPr>
        <sz val="10"/>
        <color theme="1"/>
        <rFont val="Aptos"/>
        <family val="2"/>
      </rPr>
      <t>38  = Old
39,40,43,44,45,46,47 = New</t>
    </r>
  </si>
  <si>
    <t>Telebox</t>
  </si>
  <si>
    <t>Data Line</t>
  </si>
  <si>
    <t>Logic</t>
  </si>
  <si>
    <t>T-code</t>
  </si>
  <si>
    <t>Growth / Degrowth(%) – Current Year last Quarter vs. Same Quarter Last Year</t>
  </si>
  <si>
    <t>Gross Sales of the Current Financial Year</t>
  </si>
  <si>
    <t>Gross – Last Month of Previous Financial Year (FY)</t>
  </si>
  <si>
    <t>Gross – Last Month of Current Financial Year (FY)</t>
  </si>
  <si>
    <t>Table Required</t>
  </si>
  <si>
    <t>ZFI_EXCP_APPROVAL</t>
  </si>
  <si>
    <t>FBL5N</t>
  </si>
  <si>
    <t>Gross Sales of Last FY</t>
  </si>
  <si>
    <t>Net Sales of the Current Financial Year</t>
  </si>
  <si>
    <t>Bank collection of Last FY</t>
  </si>
  <si>
    <t>Credit note of Last FY</t>
  </si>
  <si>
    <t>Bank collection Current Financial Year</t>
  </si>
  <si>
    <t>Credit note
 Current Financial Year</t>
  </si>
  <si>
    <t>Bank Collection – Last Month of Current Financial Year (FY)</t>
  </si>
  <si>
    <t>Credit note – Last Month of Current Financial Year (FY)</t>
  </si>
  <si>
    <t>ZCUSTAGDUE</t>
  </si>
  <si>
    <t>.Note: Credit Balance Need to be show as "zero"</t>
  </si>
  <si>
    <t>UKM_BP_DISPLAY</t>
  </si>
  <si>
    <t>Net Outstanding
(Last Month of Current Financial Year (FY)</t>
  </si>
  <si>
    <t>OD as per Payment terms
(Last Month of Current Financial Year (FY)</t>
  </si>
  <si>
    <t>Astral OD &gt;55 days
Astral Dist. OD &gt;60 days
Gem/Ind  OD &gt;120 days
(Last Month of Current Financial Year (FY)</t>
  </si>
  <si>
    <t>Security cheques</t>
  </si>
  <si>
    <t>Legal 
Status</t>
  </si>
  <si>
    <t>Dispute/Sales Return/CN Pending/DN amount</t>
  </si>
  <si>
    <t>Debts Collection Agency</t>
  </si>
  <si>
    <t>Gross - Sales Return of Last FY</t>
  </si>
  <si>
    <t>Net - Sales Return of Last FY</t>
  </si>
  <si>
    <t>Net - Sales Return Current Financial Year</t>
  </si>
  <si>
    <t>Gross - Sales Return Current Financial Year</t>
  </si>
  <si>
    <t>Gross - Sales Return Last Month of Current Financial Year (FY)</t>
  </si>
  <si>
    <t>Net - Sales Return Last Month of Current Financial Year (FY)</t>
  </si>
  <si>
    <t>T CODE</t>
  </si>
  <si>
    <t>DATA</t>
  </si>
  <si>
    <t>SD</t>
  </si>
  <si>
    <t>FI</t>
  </si>
  <si>
    <t>Z-TABLE</t>
  </si>
  <si>
    <t>CEI %-Previous Financial Year (FY)</t>
  </si>
  <si>
    <t>Exception Approval taken in -Current Year (FY)</t>
  </si>
  <si>
    <t>Legal- status</t>
  </si>
  <si>
    <t>Projected-Legal /Demand Notice (Under Approval)</t>
  </si>
  <si>
    <t>S.N</t>
  </si>
  <si>
    <t>MOD</t>
  </si>
  <si>
    <t>Field</t>
  </si>
  <si>
    <t>Pass VKORG in TVKO</t>
  </si>
  <si>
    <t>Pass BUKRS in T001</t>
  </si>
  <si>
    <t>Pass SPART in TSPA</t>
  </si>
  <si>
    <t>Pass KUNNR in KNVV to get KVGR1</t>
  </si>
  <si>
    <t>Customer group 2</t>
  </si>
  <si>
    <t>Pass KUNNR in KNVV to get KVGR2</t>
  </si>
  <si>
    <t>Pass KUNNR in KNA1</t>
  </si>
  <si>
    <t>Date selection parameter</t>
  </si>
  <si>
    <t>Pass "I"  fieldUMSKZ,GJAHR, KUNNR  BSID and fetch WRBTR</t>
  </si>
  <si>
    <t>Pass "Q"  fieldUMSKZ,GJAHR, KUNNR  BSID and fetch WRBTR</t>
  </si>
  <si>
    <t>Maintain STVARV for this and prep. Logic</t>
  </si>
  <si>
    <t>LID_1 &amp; L1_D</t>
  </si>
  <si>
    <t>LID_2 &amp; L2_D</t>
  </si>
  <si>
    <t>LID_3 &amp; L3_D</t>
  </si>
  <si>
    <t>LID_4 &amp; L4_D</t>
  </si>
  <si>
    <t>LID_5 &amp; L5_D</t>
  </si>
  <si>
    <t>LID_6 &amp; L6_D</t>
  </si>
  <si>
    <t>L4</t>
  </si>
  <si>
    <t>MPC Create Date or Created On</t>
  </si>
  <si>
    <t>Customer</t>
  </si>
  <si>
    <t>Region</t>
  </si>
  <si>
    <t>Z- Table</t>
  </si>
  <si>
    <t>Ask Parth shah</t>
  </si>
  <si>
    <t>Z TABLE</t>
  </si>
  <si>
    <t>LID1-LDI6 with description, Opening Date, party code, Customer details like- customer name, grp1, grp2, Active/Inactive, buying group, tele-box, data line, payment terms.</t>
  </si>
  <si>
    <t>Net Sales of the Current Financial Year, Gross sales of current year, Net Sales – Last Month of Current Financial Year (FY), Gross – Last Month of Current Financial Year (FY), Net Sales – Last Quarter of Current Financial Year</t>
  </si>
  <si>
    <t>Net sales &amp; gross sales as per selected date.</t>
  </si>
  <si>
    <t>Credit note- Current Financial Year</t>
  </si>
  <si>
    <t>CEI %- Current Year (FY)</t>
  </si>
  <si>
    <t>1. Net Outstanding- (Last Month of Current Financial Year (FY)</t>
  </si>
  <si>
    <t>2. Astral OD &gt;55 days</t>
  </si>
  <si>
    <t>Astral Dist. OD &gt;60 days</t>
  </si>
  <si>
    <t>Gem/Ind  OD &gt;120 days</t>
  </si>
  <si>
    <t>(Last Month of Current Financial Year (FY)</t>
  </si>
  <si>
    <t>3. Total OS as on last date of month of Last quarter current year</t>
  </si>
  <si>
    <t>4. Total Critical OD as on last date of month of Last quarter current year</t>
  </si>
  <si>
    <t>OD as per Payment terms- (Last Month of Current Financial Year (FY)</t>
  </si>
  <si>
    <r>
      <rPr>
        <b/>
        <sz val="10"/>
        <color rgb="FFFF0000"/>
        <rFont val="Aptos"/>
        <family val="2"/>
      </rPr>
      <t>Paint Business</t>
    </r>
    <r>
      <rPr>
        <sz val="10"/>
        <color theme="1"/>
        <rFont val="Aptos"/>
        <family val="2"/>
      </rPr>
      <t xml:space="preserve">
</t>
    </r>
    <r>
      <rPr>
        <b/>
        <sz val="10"/>
        <color theme="1"/>
        <rFont val="Aptos"/>
        <family val="2"/>
      </rPr>
      <t xml:space="preserve">Based on Customer Group - 2
</t>
    </r>
    <r>
      <rPr>
        <sz val="10"/>
        <color theme="1"/>
        <rFont val="Aptos"/>
        <family val="2"/>
      </rPr>
      <t>Distributor  = 47,53
Dealer =38,39,40,43,44,45,46</t>
    </r>
  </si>
  <si>
    <t>Central order block desc.</t>
  </si>
  <si>
    <t>AF/3</t>
  </si>
  <si>
    <t>(Current/last)-1 (%)</t>
  </si>
  <si>
    <t>(AD/AE)-1 Percentage</t>
  </si>
  <si>
    <t>ZFI_COLL_CRN_P- Paint
ZFI_COLL_CRN- Adh</t>
  </si>
  <si>
    <t>Credit note amount</t>
  </si>
  <si>
    <t>Collection &amp; Credit note amount
Collection amount will be display in separate column- Collection+ CN= Total collection</t>
  </si>
  <si>
    <t>ZSD_RCL_NEW- ADH
ZSD_SALRCL-Paint</t>
  </si>
  <si>
    <t>% OF DEFAULT INVOICE</t>
  </si>
  <si>
    <t>% of CEI</t>
  </si>
  <si>
    <t>Avg clearing</t>
  </si>
  <si>
    <r>
      <rPr>
        <sz val="10"/>
        <rFont val="Aptos"/>
        <family val="2"/>
      </rPr>
      <t>Avg clearing</t>
    </r>
    <r>
      <rPr>
        <sz val="10"/>
        <color rgb="FFFF0000"/>
        <rFont val="Aptos"/>
        <family val="2"/>
      </rPr>
      <t xml:space="preserve">
Z- TABLE</t>
    </r>
  </si>
  <si>
    <t>ZFICUSTAG- Astral paint
Grp1 ASP = Grp2 dealer&gt;55.
Grp1 ASP= GRP2 Dist&gt;60
Grp1 GEM/IPT&gt;120 days</t>
  </si>
  <si>
    <t>ZFICUSTAG- Paint
ZFI_CRITICAL_OD- ADH</t>
  </si>
  <si>
    <t>Payment terms -Description</t>
  </si>
  <si>
    <t>BP- Attribute-2
ZFI_CRITICAL_OD- ADH</t>
  </si>
  <si>
    <t>(BM+BN)</t>
  </si>
  <si>
    <t>STVARV= ZSD_PAINT_CUSTGRP2</t>
  </si>
  <si>
    <t>STVARV=ZSD_PAINT_OLDCUSTGRP2</t>
  </si>
  <si>
    <t xml:space="preserve">G/L Post( Net sales)- Paint &amp; Adhesive
</t>
  </si>
  <si>
    <t>Gross Bill Amount-  Return/Cancel Invoice ( Paint)
Gross Amount - Return/Cancel Invoice ( Adhesive)</t>
  </si>
  <si>
    <t>Gross Bill Amount (Paint)
Gross Amount (Adhesive)</t>
  </si>
  <si>
    <t>G/L Posting(Adhseive)
G/L Posting( Net value after discount)- Paint</t>
  </si>
  <si>
    <t xml:space="preserve">G/L Post( Net value after discount- Paint)
G/L Posting (Adhsive)
</t>
  </si>
  <si>
    <t xml:space="preserve">Document type- ZRE1/ZRE2
Grss Amount ( Adhesive)
Gross Bill Amount(Paint)
</t>
  </si>
  <si>
    <t>Document type- ZRE1/ZRE2
G/L Posting(Adhesive)
G/L Post(Paint)</t>
  </si>
  <si>
    <t>Bank collection amount</t>
  </si>
  <si>
    <t>Total collection</t>
  </si>
  <si>
    <t>Collection+ CN= Total collection</t>
  </si>
  <si>
    <t>Last year Total collection</t>
  </si>
  <si>
    <t>E-Agreement</t>
  </si>
  <si>
    <t>Balance confirmation</t>
  </si>
  <si>
    <t>Credit policy</t>
  </si>
  <si>
    <t>Count of billing Month in YTM</t>
  </si>
  <si>
    <t xml:space="preserve">Critical OD count of invoices in last 2 years </t>
  </si>
  <si>
    <t>FBL5N (FI)- OR SALES REGISTER ZSD_SALRCL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</si>
</sst>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0"/>
      <color theme="1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b/>
      <sz val="10"/>
      <color rgb="FFFF0000"/>
      <name val="Aptos"/>
      <family val="2"/>
    </font>
    <font>
      <sz val="10"/>
      <color theme="1"/>
      <name val="Aptos"/>
      <family val="2"/>
    </font>
    <font>
      <b/>
      <sz val="10"/>
      <color theme="1"/>
      <name val="Aptos Narrow"/>
      <family val="2"/>
      <scheme val="minor"/>
    </font>
    <font>
      <sz val="10"/>
      <color rgb="FFFF0000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sz val="1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58">
    <xf numFmtId="0" fontId="0" fillId="0" borderId="0" xfId="0"/>
    <xf numFmtId="9" fontId="0" fillId="0" borderId="1" xfId="2" applyFont="1" applyBorder="1"/>
    <xf numFmtId="0" fontId="0" fillId="0" borderId="1" xfId="0" applyBorder="1"/>
    <xf numFmtId="14" fontId="0" fillId="0" borderId="0" xfId="0" applyNumberFormat="1"/>
    <xf numFmtId="14" fontId="3" fillId="3" borderId="1" xfId="3" applyNumberFormat="1" applyFont="1" applyFill="1" applyBorder="1" applyAlignment="1">
      <alignment horizontal="center" vertical="center" wrapText="1"/>
    </xf>
    <xf numFmtId="0" fontId="3" fillId="3" borderId="1" xfId="3" applyFont="1" applyFill="1" applyBorder="1" applyAlignment="1">
      <alignment horizontal="center" vertical="center" wrapText="1"/>
    </xf>
    <xf numFmtId="164" fontId="3" fillId="3" borderId="1" xfId="1" applyFont="1" applyFill="1" applyBorder="1" applyAlignment="1">
      <alignment horizontal="center" vertical="center" wrapText="1"/>
    </xf>
    <xf numFmtId="9" fontId="3" fillId="3" borderId="1" xfId="2" applyFont="1" applyFill="1" applyBorder="1" applyAlignment="1">
      <alignment horizontal="center" vertical="center" wrapText="1"/>
    </xf>
    <xf numFmtId="2" fontId="3" fillId="3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/>
    <xf numFmtId="0" fontId="8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2" fillId="4" borderId="2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2" fillId="4" borderId="4" xfId="0" applyFont="1" applyFill="1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10" xfId="0" applyBorder="1"/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13" xfId="0" applyFont="1" applyBorder="1" applyAlignment="1">
      <alignment horizontal="right" vertical="center"/>
    </xf>
    <xf numFmtId="0" fontId="10" fillId="0" borderId="14" xfId="0" applyFont="1" applyBorder="1" applyAlignment="1">
      <alignment vertical="center"/>
    </xf>
    <xf numFmtId="0" fontId="0" fillId="0" borderId="1" xfId="0" applyBorder="1" applyAlignment="1">
      <alignment wrapText="1"/>
    </xf>
    <xf numFmtId="9" fontId="0" fillId="0" borderId="0" xfId="2" applyFont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8" xfId="0" applyBorder="1"/>
    <xf numFmtId="0" fontId="2" fillId="0" borderId="18" xfId="0" applyFont="1" applyBorder="1"/>
    <xf numFmtId="0" fontId="8" fillId="0" borderId="18" xfId="0" applyFont="1" applyBorder="1"/>
    <xf numFmtId="0" fontId="0" fillId="0" borderId="19" xfId="0" applyBorder="1" applyAlignment="1">
      <alignment horizontal="left"/>
    </xf>
    <xf numFmtId="0" fontId="0" fillId="0" borderId="19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7" xfId="0" applyFont="1" applyBorder="1" applyAlignment="1">
      <alignment horizontal="right" vertical="center"/>
    </xf>
    <xf numFmtId="0" fontId="10" fillId="0" borderId="15" xfId="0" applyFont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0" fontId="10" fillId="0" borderId="17" xfId="0" applyFont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7" xfId="0" applyFont="1" applyBorder="1" applyAlignment="1">
      <alignment vertical="center"/>
    </xf>
  </cellXfs>
  <cellStyles count="4">
    <cellStyle name="40% - Accent3" xfId="3" builtinId="39"/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56DC-CA35-45E3-9B4C-16AC465AFAD8}">
  <dimension ref="B5:D17"/>
  <sheetViews>
    <sheetView workbookViewId="0">
      <selection activeCell="B14" sqref="B14"/>
    </sheetView>
  </sheetViews>
  <sheetFormatPr defaultRowHeight="13" x14ac:dyDescent="0.3"/>
  <cols>
    <col min="2" max="2" width="36.1796875" bestFit="1" customWidth="1"/>
    <col min="3" max="3" width="15.36328125" bestFit="1" customWidth="1"/>
    <col min="4" max="4" width="10.36328125" bestFit="1" customWidth="1"/>
    <col min="5" max="5" width="24.36328125" bestFit="1" customWidth="1"/>
  </cols>
  <sheetData>
    <row r="5" spans="2:4" x14ac:dyDescent="0.3">
      <c r="B5" t="s">
        <v>41</v>
      </c>
    </row>
    <row r="6" spans="2:4" x14ac:dyDescent="0.3">
      <c r="B6" t="s">
        <v>42</v>
      </c>
    </row>
    <row r="7" spans="2:4" x14ac:dyDescent="0.3">
      <c r="B7" t="s">
        <v>43</v>
      </c>
    </row>
    <row r="8" spans="2:4" x14ac:dyDescent="0.3">
      <c r="B8" t="s">
        <v>44</v>
      </c>
    </row>
    <row r="9" spans="2:4" x14ac:dyDescent="0.3">
      <c r="B9" t="s">
        <v>44</v>
      </c>
    </row>
    <row r="10" spans="2:4" x14ac:dyDescent="0.3">
      <c r="B10" t="s">
        <v>45</v>
      </c>
    </row>
    <row r="11" spans="2:4" x14ac:dyDescent="0.3">
      <c r="B11" t="s">
        <v>46</v>
      </c>
      <c r="C11" s="3" t="s">
        <v>56</v>
      </c>
      <c r="D11" s="3"/>
    </row>
    <row r="12" spans="2:4" x14ac:dyDescent="0.3">
      <c r="B12" t="s">
        <v>57</v>
      </c>
      <c r="C12" s="3" t="s">
        <v>58</v>
      </c>
      <c r="D12" s="3"/>
    </row>
    <row r="13" spans="2:4" x14ac:dyDescent="0.3">
      <c r="B13" t="s">
        <v>47</v>
      </c>
      <c r="C13" s="3" t="s">
        <v>54</v>
      </c>
      <c r="D13" s="3"/>
    </row>
    <row r="14" spans="2:4" x14ac:dyDescent="0.3">
      <c r="B14" t="s">
        <v>48</v>
      </c>
      <c r="C14" s="3" t="s">
        <v>55</v>
      </c>
    </row>
    <row r="15" spans="2:4" x14ac:dyDescent="0.3">
      <c r="B15" t="s">
        <v>52</v>
      </c>
      <c r="C15" s="3" t="s">
        <v>59</v>
      </c>
    </row>
    <row r="16" spans="2:4" x14ac:dyDescent="0.3">
      <c r="B16" t="s">
        <v>53</v>
      </c>
      <c r="C16" s="3" t="s">
        <v>60</v>
      </c>
    </row>
    <row r="17" spans="2:3" x14ac:dyDescent="0.3">
      <c r="B17" t="s">
        <v>61</v>
      </c>
      <c r="C17" s="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A14C-1710-4541-8BFD-538C70ECC46B}">
  <dimension ref="C3:D16"/>
  <sheetViews>
    <sheetView workbookViewId="0">
      <selection activeCell="C7" sqref="C7"/>
    </sheetView>
  </sheetViews>
  <sheetFormatPr defaultRowHeight="13" x14ac:dyDescent="0.3"/>
  <cols>
    <col min="3" max="3" width="31.54296875" bestFit="1" customWidth="1"/>
    <col min="4" max="4" width="28.54296875" bestFit="1" customWidth="1"/>
  </cols>
  <sheetData>
    <row r="3" spans="3:4" x14ac:dyDescent="0.3">
      <c r="C3" t="s">
        <v>119</v>
      </c>
      <c r="D3" t="s">
        <v>75</v>
      </c>
    </row>
    <row r="4" spans="3:4" x14ac:dyDescent="0.3">
      <c r="C4" t="s">
        <v>41</v>
      </c>
      <c r="D4" t="s">
        <v>121</v>
      </c>
    </row>
    <row r="5" spans="3:4" x14ac:dyDescent="0.3">
      <c r="C5" t="s">
        <v>42</v>
      </c>
      <c r="D5" t="s">
        <v>120</v>
      </c>
    </row>
    <row r="6" spans="3:4" x14ac:dyDescent="0.3">
      <c r="C6" t="s">
        <v>43</v>
      </c>
      <c r="D6" t="s">
        <v>122</v>
      </c>
    </row>
    <row r="7" spans="3:4" x14ac:dyDescent="0.3">
      <c r="C7" t="s">
        <v>44</v>
      </c>
      <c r="D7" t="s">
        <v>123</v>
      </c>
    </row>
    <row r="8" spans="3:4" x14ac:dyDescent="0.3">
      <c r="C8" t="s">
        <v>124</v>
      </c>
      <c r="D8" t="s">
        <v>125</v>
      </c>
    </row>
    <row r="9" spans="3:4" x14ac:dyDescent="0.3">
      <c r="C9" t="s">
        <v>45</v>
      </c>
      <c r="D9" t="s">
        <v>126</v>
      </c>
    </row>
    <row r="10" spans="3:4" x14ac:dyDescent="0.3">
      <c r="C10" t="s">
        <v>46</v>
      </c>
      <c r="D10" t="s">
        <v>127</v>
      </c>
    </row>
    <row r="11" spans="3:4" x14ac:dyDescent="0.3">
      <c r="C11" t="s">
        <v>57</v>
      </c>
      <c r="D11" t="s">
        <v>127</v>
      </c>
    </row>
    <row r="12" spans="3:4" x14ac:dyDescent="0.3">
      <c r="C12" t="s">
        <v>47</v>
      </c>
      <c r="D12" t="s">
        <v>127</v>
      </c>
    </row>
    <row r="13" spans="3:4" x14ac:dyDescent="0.3">
      <c r="C13" t="s">
        <v>48</v>
      </c>
      <c r="D13" t="s">
        <v>127</v>
      </c>
    </row>
    <row r="14" spans="3:4" x14ac:dyDescent="0.3">
      <c r="C14" t="s">
        <v>52</v>
      </c>
      <c r="D14" t="s">
        <v>127</v>
      </c>
    </row>
    <row r="15" spans="3:4" x14ac:dyDescent="0.3">
      <c r="C15" t="s">
        <v>53</v>
      </c>
      <c r="D15" t="s">
        <v>127</v>
      </c>
    </row>
    <row r="16" spans="3:4" x14ac:dyDescent="0.3">
      <c r="C16" t="s">
        <v>61</v>
      </c>
      <c r="D16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D54C-4BC1-4889-ABC3-B684AEDB3542}">
  <dimension ref="A3:CC11"/>
  <sheetViews>
    <sheetView tabSelected="1" topLeftCell="AD4" workbookViewId="0">
      <selection activeCell="BC6" sqref="BC6"/>
    </sheetView>
  </sheetViews>
  <sheetFormatPr defaultRowHeight="13" x14ac:dyDescent="0.3"/>
  <cols>
    <col min="1" max="1" width="6.6328125" bestFit="1" customWidth="1"/>
    <col min="2" max="2" width="13.1796875" bestFit="1" customWidth="1"/>
    <col min="3" max="7" width="11.54296875" bestFit="1" customWidth="1"/>
    <col min="8" max="8" width="27.08984375" bestFit="1" customWidth="1"/>
    <col min="9" max="9" width="10" bestFit="1" customWidth="1"/>
    <col min="10" max="10" width="15.453125" bestFit="1" customWidth="1"/>
    <col min="11" max="12" width="16" bestFit="1" customWidth="1"/>
    <col min="13" max="14" width="33.90625" bestFit="1" customWidth="1"/>
    <col min="15" max="15" width="21.81640625" bestFit="1" customWidth="1"/>
    <col min="16" max="17" width="10" bestFit="1" customWidth="1"/>
    <col min="18" max="18" width="11.36328125" bestFit="1" customWidth="1"/>
    <col min="19" max="20" width="10" bestFit="1" customWidth="1"/>
    <col min="21" max="21" width="11" bestFit="1" customWidth="1"/>
    <col min="22" max="23" width="13.36328125" bestFit="1" customWidth="1"/>
    <col min="24" max="24" width="16.6328125" bestFit="1" customWidth="1"/>
    <col min="25" max="25" width="26" bestFit="1" customWidth="1"/>
    <col min="26" max="26" width="15.08984375" bestFit="1" customWidth="1"/>
    <col min="27" max="27" width="22" bestFit="1" customWidth="1"/>
    <col min="28" max="28" width="15.6328125" bestFit="1" customWidth="1"/>
    <col min="29" max="29" width="18.54296875" bestFit="1" customWidth="1"/>
    <col min="30" max="30" width="16.453125" bestFit="1" customWidth="1"/>
    <col min="31" max="31" width="15.36328125" bestFit="1" customWidth="1"/>
    <col min="32" max="32" width="20.453125" bestFit="1" customWidth="1"/>
    <col min="33" max="33" width="19.6328125" bestFit="1" customWidth="1"/>
    <col min="34" max="34" width="24.453125" style="16" bestFit="1" customWidth="1"/>
    <col min="35" max="35" width="21.6328125" style="16" bestFit="1" customWidth="1"/>
    <col min="36" max="37" width="13.36328125" style="16" bestFit="1" customWidth="1"/>
    <col min="38" max="38" width="23.6328125" style="16" bestFit="1" customWidth="1"/>
    <col min="39" max="39" width="20.81640625" style="16" bestFit="1" customWidth="1"/>
    <col min="40" max="40" width="27.08984375" style="16" bestFit="1" customWidth="1"/>
    <col min="41" max="41" width="25.54296875" style="16" bestFit="1" customWidth="1"/>
    <col min="42" max="42" width="22" style="16" bestFit="1" customWidth="1"/>
    <col min="43" max="43" width="20.6328125" style="16" bestFit="1" customWidth="1"/>
    <col min="44" max="44" width="14.08984375" style="16" bestFit="1" customWidth="1"/>
    <col min="45" max="45" width="15.08984375" style="16" bestFit="1" customWidth="1"/>
    <col min="46" max="48" width="23.6328125" style="16" bestFit="1" customWidth="1"/>
    <col min="49" max="49" width="26.08984375" style="16" bestFit="1" customWidth="1"/>
    <col min="50" max="50" width="14.81640625" bestFit="1" customWidth="1"/>
    <col min="51" max="51" width="20.6328125" bestFit="1" customWidth="1"/>
    <col min="52" max="52" width="13.36328125" bestFit="1" customWidth="1"/>
    <col min="53" max="55" width="18.81640625" bestFit="1" customWidth="1"/>
    <col min="56" max="56" width="15.453125" bestFit="1" customWidth="1"/>
    <col min="57" max="57" width="50.36328125" bestFit="1" customWidth="1"/>
    <col min="58" max="58" width="51.1796875" bestFit="1" customWidth="1"/>
    <col min="59" max="59" width="20.453125" bestFit="1" customWidth="1"/>
    <col min="60" max="60" width="16.1796875" bestFit="1" customWidth="1"/>
    <col min="61" max="61" width="26.08984375" bestFit="1" customWidth="1"/>
    <col min="62" max="62" width="21" bestFit="1" customWidth="1"/>
    <col min="63" max="63" width="17.453125" bestFit="1" customWidth="1"/>
    <col min="64" max="64" width="18.36328125" bestFit="1" customWidth="1"/>
    <col min="65" max="65" width="21.08984375" bestFit="1" customWidth="1"/>
    <col min="66" max="67" width="10" bestFit="1" customWidth="1"/>
    <col min="68" max="68" width="8.1796875" bestFit="1" customWidth="1"/>
    <col min="69" max="69" width="12.81640625" bestFit="1" customWidth="1"/>
    <col min="70" max="70" width="11" bestFit="1" customWidth="1"/>
    <col min="71" max="71" width="10.1796875" bestFit="1" customWidth="1"/>
    <col min="72" max="74" width="13.36328125" bestFit="1" customWidth="1"/>
    <col min="75" max="75" width="13.81640625" bestFit="1" customWidth="1"/>
    <col min="76" max="76" width="13.36328125" bestFit="1" customWidth="1"/>
    <col min="77" max="78" width="13.36328125" customWidth="1"/>
    <col min="79" max="81" width="18.81640625" bestFit="1" customWidth="1"/>
  </cols>
  <sheetData>
    <row r="3" spans="1:81" x14ac:dyDescent="0.3">
      <c r="A3" s="44"/>
      <c r="B3" s="45" t="s">
        <v>51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</row>
    <row r="4" spans="1:81" ht="65" x14ac:dyDescent="0.3">
      <c r="A4" s="2"/>
      <c r="B4" s="4" t="s">
        <v>15</v>
      </c>
      <c r="C4" s="4" t="s">
        <v>16</v>
      </c>
      <c r="D4" s="4" t="s">
        <v>17</v>
      </c>
      <c r="E4" s="4" t="s">
        <v>137</v>
      </c>
      <c r="F4" s="4" t="s">
        <v>18</v>
      </c>
      <c r="G4" s="4" t="s">
        <v>19</v>
      </c>
      <c r="H4" s="4" t="s">
        <v>0</v>
      </c>
      <c r="I4" s="5" t="s">
        <v>1</v>
      </c>
      <c r="J4" s="5" t="s">
        <v>2</v>
      </c>
      <c r="K4" s="5" t="s">
        <v>3</v>
      </c>
      <c r="L4" s="5" t="s">
        <v>4</v>
      </c>
      <c r="M4" s="5" t="s">
        <v>70</v>
      </c>
      <c r="N4" s="5" t="s">
        <v>71</v>
      </c>
      <c r="O4" s="5" t="s">
        <v>5</v>
      </c>
      <c r="P4" s="5" t="s">
        <v>6</v>
      </c>
      <c r="Q4" s="5" t="s">
        <v>7</v>
      </c>
      <c r="R4" s="5" t="s">
        <v>8</v>
      </c>
      <c r="S4" s="5" t="s">
        <v>73</v>
      </c>
      <c r="T4" s="5" t="s">
        <v>74</v>
      </c>
      <c r="U4" s="5" t="s">
        <v>40</v>
      </c>
      <c r="V4" s="12" t="s">
        <v>20</v>
      </c>
      <c r="W4" s="12" t="s">
        <v>84</v>
      </c>
      <c r="X4" s="12" t="s">
        <v>85</v>
      </c>
      <c r="Y4" s="12" t="s">
        <v>78</v>
      </c>
      <c r="Z4" s="12" t="s">
        <v>49</v>
      </c>
      <c r="AA4" s="12" t="s">
        <v>50</v>
      </c>
      <c r="AB4" s="12" t="s">
        <v>79</v>
      </c>
      <c r="AC4" s="12" t="s">
        <v>80</v>
      </c>
      <c r="AD4" s="12" t="s">
        <v>25</v>
      </c>
      <c r="AE4" s="12" t="s">
        <v>21</v>
      </c>
      <c r="AF4" s="12" t="s">
        <v>22</v>
      </c>
      <c r="AG4" s="12" t="s">
        <v>77</v>
      </c>
      <c r="AH4" s="12" t="s">
        <v>63</v>
      </c>
      <c r="AI4" s="12" t="s">
        <v>64</v>
      </c>
      <c r="AJ4" s="12" t="s">
        <v>86</v>
      </c>
      <c r="AK4" s="12" t="s">
        <v>87</v>
      </c>
      <c r="AL4" s="12" t="s">
        <v>88</v>
      </c>
      <c r="AM4" s="12" t="s">
        <v>89</v>
      </c>
      <c r="AN4" s="5" t="s">
        <v>185</v>
      </c>
      <c r="AO4" s="12" t="s">
        <v>90</v>
      </c>
      <c r="AP4" s="12" t="s">
        <v>91</v>
      </c>
      <c r="AQ4" s="5" t="s">
        <v>187</v>
      </c>
      <c r="AR4" s="12" t="s">
        <v>102</v>
      </c>
      <c r="AS4" s="12" t="s">
        <v>103</v>
      </c>
      <c r="AT4" s="12" t="s">
        <v>105</v>
      </c>
      <c r="AU4" s="12" t="s">
        <v>104</v>
      </c>
      <c r="AV4" s="12" t="s">
        <v>106</v>
      </c>
      <c r="AW4" s="12" t="s">
        <v>107</v>
      </c>
      <c r="AX4" s="7" t="s">
        <v>23</v>
      </c>
      <c r="AY4" s="7" t="s">
        <v>24</v>
      </c>
      <c r="AZ4" s="7" t="s">
        <v>26</v>
      </c>
      <c r="BA4" s="7" t="s">
        <v>27</v>
      </c>
      <c r="BB4" s="7" t="s">
        <v>28</v>
      </c>
      <c r="BC4" s="7" t="s">
        <v>29</v>
      </c>
      <c r="BD4" s="6" t="s">
        <v>114</v>
      </c>
      <c r="BE4" s="8" t="s">
        <v>9</v>
      </c>
      <c r="BF4" s="8" t="s">
        <v>10</v>
      </c>
      <c r="BG4" s="8" t="s">
        <v>95</v>
      </c>
      <c r="BH4" s="8" t="s">
        <v>96</v>
      </c>
      <c r="BI4" s="8" t="s">
        <v>97</v>
      </c>
      <c r="BJ4" s="8" t="s">
        <v>30</v>
      </c>
      <c r="BK4" s="8" t="s">
        <v>31</v>
      </c>
      <c r="BL4" s="8" t="s">
        <v>32</v>
      </c>
      <c r="BM4" s="8" t="s">
        <v>33</v>
      </c>
      <c r="BN4" s="5" t="s">
        <v>172</v>
      </c>
      <c r="BO4" s="5" t="s">
        <v>11</v>
      </c>
      <c r="BP4" s="6" t="s">
        <v>12</v>
      </c>
      <c r="BQ4" s="6" t="s">
        <v>13</v>
      </c>
      <c r="BR4" s="6" t="s">
        <v>14</v>
      </c>
      <c r="BS4" s="6" t="s">
        <v>34</v>
      </c>
      <c r="BT4" s="6" t="s">
        <v>98</v>
      </c>
      <c r="BU4" s="6" t="s">
        <v>99</v>
      </c>
      <c r="BV4" s="6" t="s">
        <v>100</v>
      </c>
      <c r="BW4" s="6" t="s">
        <v>116</v>
      </c>
      <c r="BX4" s="6" t="s">
        <v>101</v>
      </c>
      <c r="BY4" s="6" t="s">
        <v>192</v>
      </c>
      <c r="BZ4" s="6" t="s">
        <v>191</v>
      </c>
      <c r="CA4" s="6" t="s">
        <v>189</v>
      </c>
      <c r="CB4" s="6" t="s">
        <v>188</v>
      </c>
      <c r="CC4" s="6" t="s">
        <v>190</v>
      </c>
    </row>
    <row r="5" spans="1:81" x14ac:dyDescent="0.3">
      <c r="A5" s="17"/>
      <c r="B5" s="2" t="s">
        <v>35</v>
      </c>
      <c r="C5" s="2" t="s">
        <v>35</v>
      </c>
      <c r="D5" s="2" t="s">
        <v>35</v>
      </c>
      <c r="E5" s="2" t="s">
        <v>35</v>
      </c>
      <c r="F5" s="2" t="s">
        <v>35</v>
      </c>
      <c r="G5" s="2" t="s">
        <v>35</v>
      </c>
      <c r="H5" s="2" t="s">
        <v>35</v>
      </c>
      <c r="I5" s="2" t="s">
        <v>35</v>
      </c>
      <c r="J5" s="2" t="s">
        <v>35</v>
      </c>
      <c r="K5" s="2" t="s">
        <v>35</v>
      </c>
      <c r="L5" s="2" t="s">
        <v>35</v>
      </c>
      <c r="M5" s="11" t="s">
        <v>75</v>
      </c>
      <c r="N5" s="11" t="s">
        <v>75</v>
      </c>
      <c r="O5" s="2" t="s">
        <v>35</v>
      </c>
      <c r="P5" s="2" t="s">
        <v>35</v>
      </c>
      <c r="Q5" s="2" t="s">
        <v>35</v>
      </c>
      <c r="R5" s="2" t="s">
        <v>35</v>
      </c>
      <c r="S5" s="2" t="s">
        <v>35</v>
      </c>
      <c r="T5" s="2" t="s">
        <v>35</v>
      </c>
      <c r="U5" s="2" t="s">
        <v>35</v>
      </c>
      <c r="V5" s="2"/>
      <c r="W5" s="2"/>
      <c r="X5" s="2" t="s">
        <v>35</v>
      </c>
      <c r="Y5" s="2" t="s">
        <v>35</v>
      </c>
      <c r="Z5" s="2"/>
      <c r="AA5" s="2" t="s">
        <v>35</v>
      </c>
      <c r="AB5" s="2"/>
      <c r="AC5" s="2" t="s">
        <v>35</v>
      </c>
      <c r="AD5" s="2" t="s">
        <v>39</v>
      </c>
      <c r="AE5" s="2"/>
      <c r="AF5" s="2" t="s">
        <v>35</v>
      </c>
      <c r="AG5" s="2" t="s">
        <v>39</v>
      </c>
      <c r="AH5" s="2" t="s">
        <v>35</v>
      </c>
      <c r="AI5" s="2" t="s">
        <v>35</v>
      </c>
      <c r="AJ5" s="15"/>
      <c r="AK5" s="15"/>
      <c r="AL5" s="2" t="s">
        <v>35</v>
      </c>
      <c r="AM5" s="2" t="s">
        <v>35</v>
      </c>
      <c r="AN5" s="2"/>
      <c r="AO5" s="2" t="s">
        <v>35</v>
      </c>
      <c r="AP5" s="2" t="s">
        <v>35</v>
      </c>
      <c r="AQ5" s="2"/>
      <c r="AR5" s="2"/>
      <c r="AS5" s="2"/>
      <c r="AT5" s="2" t="s">
        <v>35</v>
      </c>
      <c r="AU5" s="2" t="s">
        <v>35</v>
      </c>
      <c r="AV5" s="2" t="s">
        <v>35</v>
      </c>
      <c r="AW5" s="2" t="s">
        <v>35</v>
      </c>
      <c r="AX5" s="2"/>
      <c r="AY5" s="2" t="s">
        <v>35</v>
      </c>
      <c r="AZ5" s="2"/>
      <c r="BA5" s="2" t="s">
        <v>35</v>
      </c>
      <c r="BB5" s="17" t="s">
        <v>39</v>
      </c>
      <c r="BC5" s="17" t="s">
        <v>39</v>
      </c>
      <c r="BD5" s="2"/>
      <c r="BE5" s="2" t="s">
        <v>38</v>
      </c>
      <c r="BF5" s="2" t="s">
        <v>37</v>
      </c>
      <c r="BG5" s="2" t="s">
        <v>35</v>
      </c>
      <c r="BH5" s="2" t="s">
        <v>35</v>
      </c>
      <c r="BI5" s="2" t="s">
        <v>35</v>
      </c>
      <c r="BJ5" s="2" t="s">
        <v>35</v>
      </c>
      <c r="BK5" s="2" t="s">
        <v>35</v>
      </c>
      <c r="BL5" s="2" t="s">
        <v>35</v>
      </c>
      <c r="BM5" s="2" t="s">
        <v>36</v>
      </c>
      <c r="BN5" s="2" t="s">
        <v>35</v>
      </c>
      <c r="BO5" s="2" t="s">
        <v>35</v>
      </c>
      <c r="BP5" s="2"/>
      <c r="BQ5" s="2"/>
      <c r="BR5" s="2" t="e">
        <f>BO5+BP5</f>
        <v>#VALUE!</v>
      </c>
      <c r="BS5" s="1" t="e">
        <f>BR5/AD5</f>
        <v>#VALUE!</v>
      </c>
      <c r="BT5" s="2"/>
      <c r="BU5" s="2"/>
      <c r="BV5" s="2"/>
      <c r="BW5" s="2"/>
      <c r="BX5" s="2"/>
      <c r="BY5" s="2"/>
      <c r="BZ5" s="49" t="s">
        <v>35</v>
      </c>
      <c r="CA5" s="2"/>
      <c r="CB5" s="2"/>
      <c r="CC5" s="2"/>
    </row>
    <row r="6" spans="1:81" ht="52" x14ac:dyDescent="0.3">
      <c r="A6" s="2" t="s">
        <v>76</v>
      </c>
      <c r="B6" s="2" t="s">
        <v>65</v>
      </c>
      <c r="C6" s="2" t="s">
        <v>65</v>
      </c>
      <c r="D6" s="2" t="s">
        <v>65</v>
      </c>
      <c r="E6" s="2" t="s">
        <v>65</v>
      </c>
      <c r="F6" s="2" t="s">
        <v>65</v>
      </c>
      <c r="G6" s="2" t="s">
        <v>65</v>
      </c>
      <c r="H6" s="2" t="s">
        <v>65</v>
      </c>
      <c r="I6" s="2" t="s">
        <v>65</v>
      </c>
      <c r="J6" s="2" t="s">
        <v>65</v>
      </c>
      <c r="K6" s="2" t="s">
        <v>65</v>
      </c>
      <c r="L6" s="2" t="s">
        <v>65</v>
      </c>
      <c r="M6" s="2"/>
      <c r="N6" s="2"/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65</v>
      </c>
      <c r="V6" s="10" t="s">
        <v>81</v>
      </c>
      <c r="W6" s="10" t="s">
        <v>81</v>
      </c>
      <c r="X6" s="40" t="s">
        <v>165</v>
      </c>
      <c r="Y6" s="40" t="s">
        <v>165</v>
      </c>
      <c r="Z6" s="10" t="s">
        <v>81</v>
      </c>
      <c r="AA6" s="40" t="s">
        <v>165</v>
      </c>
      <c r="AB6" s="10" t="s">
        <v>81</v>
      </c>
      <c r="AC6" s="40" t="s">
        <v>165</v>
      </c>
      <c r="AD6" s="2" t="s">
        <v>159</v>
      </c>
      <c r="AE6" s="10" t="s">
        <v>81</v>
      </c>
      <c r="AF6" s="40" t="s">
        <v>165</v>
      </c>
      <c r="AG6" s="2" t="s">
        <v>160</v>
      </c>
      <c r="AH6" s="40" t="s">
        <v>165</v>
      </c>
      <c r="AI6" s="40" t="s">
        <v>165</v>
      </c>
      <c r="AJ6" s="10" t="s">
        <v>81</v>
      </c>
      <c r="AK6" s="10" t="s">
        <v>81</v>
      </c>
      <c r="AL6" s="40" t="s">
        <v>162</v>
      </c>
      <c r="AM6" s="40" t="s">
        <v>162</v>
      </c>
      <c r="AN6" s="40"/>
      <c r="AO6" s="40" t="s">
        <v>162</v>
      </c>
      <c r="AP6" s="40" t="s">
        <v>162</v>
      </c>
      <c r="AQ6" s="40"/>
      <c r="AR6" s="10" t="s">
        <v>81</v>
      </c>
      <c r="AS6" s="10" t="s">
        <v>81</v>
      </c>
      <c r="AT6" s="40" t="s">
        <v>165</v>
      </c>
      <c r="AU6" s="40" t="s">
        <v>165</v>
      </c>
      <c r="AV6" s="40" t="s">
        <v>165</v>
      </c>
      <c r="AW6" s="40" t="s">
        <v>165</v>
      </c>
      <c r="AX6" s="2" t="s">
        <v>81</v>
      </c>
      <c r="AY6" s="2" t="s">
        <v>82</v>
      </c>
      <c r="AZ6" s="2" t="s">
        <v>81</v>
      </c>
      <c r="BA6" s="2" t="s">
        <v>82</v>
      </c>
      <c r="BB6" s="2" t="s">
        <v>82</v>
      </c>
      <c r="BC6" s="2" t="s">
        <v>82</v>
      </c>
      <c r="BD6" s="2" t="s">
        <v>81</v>
      </c>
      <c r="BE6" s="2" t="s">
        <v>83</v>
      </c>
      <c r="BF6" s="2" t="s">
        <v>83</v>
      </c>
      <c r="BG6" s="40" t="s">
        <v>171</v>
      </c>
      <c r="BH6" s="40" t="s">
        <v>171</v>
      </c>
      <c r="BI6" s="40" t="s">
        <v>170</v>
      </c>
      <c r="BJ6" s="40" t="s">
        <v>171</v>
      </c>
      <c r="BK6" s="40" t="s">
        <v>171</v>
      </c>
      <c r="BL6" s="40" t="s">
        <v>171</v>
      </c>
      <c r="BM6" s="40" t="s">
        <v>173</v>
      </c>
      <c r="BN6" s="2" t="s">
        <v>65</v>
      </c>
      <c r="BO6" s="2" t="s">
        <v>65</v>
      </c>
      <c r="BP6" s="2" t="s">
        <v>112</v>
      </c>
      <c r="BQ6" s="2" t="s">
        <v>112</v>
      </c>
      <c r="BR6" s="2" t="s">
        <v>174</v>
      </c>
      <c r="BS6" s="2"/>
      <c r="BT6" s="2" t="s">
        <v>81</v>
      </c>
      <c r="BU6" s="2" t="s">
        <v>81</v>
      </c>
      <c r="BV6" s="2" t="s">
        <v>81</v>
      </c>
      <c r="BW6" s="2" t="s">
        <v>81</v>
      </c>
      <c r="BX6" s="2" t="s">
        <v>81</v>
      </c>
      <c r="BY6" s="2" t="s">
        <v>81</v>
      </c>
      <c r="BZ6" s="40" t="s">
        <v>193</v>
      </c>
      <c r="CA6" s="2" t="s">
        <v>82</v>
      </c>
      <c r="CB6" s="2" t="s">
        <v>82</v>
      </c>
      <c r="CC6" s="2" t="s">
        <v>82</v>
      </c>
    </row>
    <row r="7" spans="1:81" s="9" customFormat="1" ht="78" x14ac:dyDescent="0.3">
      <c r="A7" s="10" t="s">
        <v>66</v>
      </c>
      <c r="B7" s="10"/>
      <c r="C7" s="10"/>
      <c r="D7" s="10"/>
      <c r="E7" s="10"/>
      <c r="F7" s="10"/>
      <c r="G7" s="10"/>
      <c r="H7" s="13" t="s">
        <v>68</v>
      </c>
      <c r="I7" s="10"/>
      <c r="J7" s="10" t="s">
        <v>67</v>
      </c>
      <c r="K7" s="10"/>
      <c r="L7" s="10"/>
      <c r="M7" s="14" t="s">
        <v>157</v>
      </c>
      <c r="N7" s="14" t="s">
        <v>72</v>
      </c>
      <c r="O7" s="18" t="s">
        <v>69</v>
      </c>
      <c r="P7" s="10"/>
      <c r="Q7" s="10"/>
      <c r="R7" s="10"/>
      <c r="S7" s="10"/>
      <c r="T7" s="10"/>
      <c r="U7" s="10"/>
      <c r="V7" s="15" t="s">
        <v>143</v>
      </c>
      <c r="W7" s="15" t="s">
        <v>143</v>
      </c>
      <c r="X7" s="10"/>
      <c r="Y7" s="10"/>
      <c r="Z7" s="15" t="s">
        <v>143</v>
      </c>
      <c r="AA7" s="10"/>
      <c r="AB7" s="15" t="s">
        <v>143</v>
      </c>
      <c r="AC7" s="10"/>
      <c r="AD7" s="10"/>
      <c r="AE7" s="15" t="s">
        <v>143</v>
      </c>
      <c r="AF7" s="10"/>
      <c r="AG7" s="10" t="s">
        <v>161</v>
      </c>
      <c r="AH7" s="2"/>
      <c r="AI7" s="2"/>
      <c r="AJ7" s="15" t="s">
        <v>143</v>
      </c>
      <c r="AK7" s="15" t="s">
        <v>143</v>
      </c>
      <c r="AL7" s="13" t="s">
        <v>164</v>
      </c>
      <c r="AM7" s="10" t="s">
        <v>163</v>
      </c>
      <c r="AN7" s="10"/>
      <c r="AO7" s="13" t="s">
        <v>164</v>
      </c>
      <c r="AP7" s="10" t="s">
        <v>163</v>
      </c>
      <c r="AQ7" s="10"/>
      <c r="AR7" s="15" t="s">
        <v>143</v>
      </c>
      <c r="AS7" s="15" t="s">
        <v>143</v>
      </c>
      <c r="AT7" s="13" t="s">
        <v>182</v>
      </c>
      <c r="AU7" s="13" t="s">
        <v>183</v>
      </c>
      <c r="AV7" s="13" t="s">
        <v>182</v>
      </c>
      <c r="AW7" s="13" t="s">
        <v>183</v>
      </c>
      <c r="AX7" s="15" t="s">
        <v>143</v>
      </c>
      <c r="AY7" s="10" t="s">
        <v>166</v>
      </c>
      <c r="AZ7" s="15" t="s">
        <v>143</v>
      </c>
      <c r="BA7" s="10" t="s">
        <v>167</v>
      </c>
      <c r="BB7" s="13" t="s">
        <v>169</v>
      </c>
      <c r="BC7" s="10" t="s">
        <v>168</v>
      </c>
      <c r="BD7" s="15" t="s">
        <v>143</v>
      </c>
      <c r="BE7" s="10" t="s">
        <v>128</v>
      </c>
      <c r="BF7" s="10" t="s">
        <v>129</v>
      </c>
      <c r="BG7" s="50" t="s">
        <v>93</v>
      </c>
      <c r="BH7" s="50"/>
      <c r="BI7" s="50"/>
      <c r="BJ7" s="50"/>
      <c r="BK7" s="50"/>
      <c r="BL7" s="50"/>
      <c r="BM7" s="10" t="s">
        <v>142</v>
      </c>
      <c r="BN7" s="10"/>
      <c r="BO7" s="10" t="s">
        <v>11</v>
      </c>
      <c r="BP7" s="15" t="s">
        <v>143</v>
      </c>
      <c r="BQ7" s="15" t="s">
        <v>143</v>
      </c>
      <c r="BR7" s="10"/>
      <c r="BS7" s="10"/>
      <c r="BT7" s="15" t="s">
        <v>143</v>
      </c>
      <c r="BU7" s="15" t="s">
        <v>143</v>
      </c>
      <c r="BV7" s="15" t="s">
        <v>143</v>
      </c>
      <c r="BW7" s="15" t="s">
        <v>143</v>
      </c>
      <c r="BX7" s="15" t="s">
        <v>143</v>
      </c>
      <c r="BY7" s="15" t="s">
        <v>143</v>
      </c>
      <c r="BZ7" s="15"/>
      <c r="CA7" s="10"/>
      <c r="CB7" s="10"/>
      <c r="CC7" s="10"/>
    </row>
    <row r="8" spans="1:81" ht="56.5" customHeight="1" x14ac:dyDescent="0.3">
      <c r="A8" t="s">
        <v>75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136</v>
      </c>
      <c r="H8" s="29" t="s">
        <v>138</v>
      </c>
      <c r="I8" s="29" t="s">
        <v>139</v>
      </c>
      <c r="J8" s="47" t="s">
        <v>67</v>
      </c>
      <c r="K8" s="29" t="s">
        <v>3</v>
      </c>
      <c r="L8" s="29" t="s">
        <v>4</v>
      </c>
      <c r="M8" t="s">
        <v>130</v>
      </c>
      <c r="N8" t="s">
        <v>130</v>
      </c>
      <c r="O8" s="29" t="s">
        <v>158</v>
      </c>
      <c r="P8" s="29" t="s">
        <v>6</v>
      </c>
      <c r="Q8" s="29" t="s">
        <v>140</v>
      </c>
      <c r="R8" s="29" t="s">
        <v>8</v>
      </c>
      <c r="S8" s="29" t="s">
        <v>73</v>
      </c>
      <c r="T8" s="29" t="s">
        <v>74</v>
      </c>
      <c r="U8" s="29" t="s">
        <v>40</v>
      </c>
      <c r="V8" s="29" t="s">
        <v>141</v>
      </c>
      <c r="W8" s="29" t="s">
        <v>141</v>
      </c>
      <c r="X8" s="42" t="s">
        <v>177</v>
      </c>
      <c r="Y8" s="42" t="s">
        <v>178</v>
      </c>
      <c r="Z8" s="29"/>
      <c r="AA8" s="42" t="s">
        <v>181</v>
      </c>
      <c r="AB8" s="29"/>
      <c r="AC8" s="42" t="s">
        <v>179</v>
      </c>
      <c r="AD8" s="29"/>
      <c r="AE8" s="29"/>
      <c r="AF8" s="29"/>
      <c r="AG8" s="29"/>
      <c r="AH8" s="42" t="s">
        <v>180</v>
      </c>
      <c r="AI8" s="43" t="s">
        <v>179</v>
      </c>
      <c r="AJ8" s="29"/>
      <c r="AK8" s="16" t="s">
        <v>143</v>
      </c>
      <c r="AL8" s="48" t="s">
        <v>184</v>
      </c>
      <c r="AM8" s="48" t="s">
        <v>163</v>
      </c>
      <c r="AN8" s="48" t="s">
        <v>186</v>
      </c>
      <c r="AO8" s="48" t="s">
        <v>184</v>
      </c>
      <c r="AP8" s="48" t="s">
        <v>163</v>
      </c>
      <c r="AQ8" s="9"/>
      <c r="AT8" s="48"/>
      <c r="AU8" s="48"/>
      <c r="AV8" s="48"/>
      <c r="AW8" s="48"/>
      <c r="AY8" s="48"/>
      <c r="BA8" s="48"/>
      <c r="BB8" s="48" t="s">
        <v>82</v>
      </c>
      <c r="BC8" s="48"/>
    </row>
    <row r="10" spans="1:81" x14ac:dyDescent="0.3">
      <c r="M10" t="s">
        <v>175</v>
      </c>
      <c r="N10" t="s">
        <v>176</v>
      </c>
      <c r="AD10">
        <v>100000</v>
      </c>
      <c r="AE10">
        <v>50000</v>
      </c>
      <c r="AG10" s="41">
        <f>AD10/AE10-1</f>
        <v>1</v>
      </c>
      <c r="AI10"/>
    </row>
    <row r="11" spans="1:81" x14ac:dyDescent="0.3">
      <c r="AI11"/>
    </row>
  </sheetData>
  <mergeCells count="1">
    <mergeCell ref="BG7:BL7"/>
  </mergeCells>
  <conditionalFormatting sqref="I4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58EA-46A4-428A-947E-BA39443142A4}">
  <dimension ref="A1:D47"/>
  <sheetViews>
    <sheetView topLeftCell="A30" workbookViewId="0">
      <selection activeCell="A30" sqref="A30:D47"/>
    </sheetView>
  </sheetViews>
  <sheetFormatPr defaultColWidth="72" defaultRowHeight="13" x14ac:dyDescent="0.3"/>
  <cols>
    <col min="1" max="1" width="5.36328125" customWidth="1"/>
    <col min="2" max="2" width="41.08984375" bestFit="1" customWidth="1"/>
    <col min="3" max="3" width="9.81640625" customWidth="1"/>
  </cols>
  <sheetData>
    <row r="1" spans="1:4" ht="13.5" thickBot="1" x14ac:dyDescent="0.35">
      <c r="A1" s="30" t="s">
        <v>117</v>
      </c>
      <c r="B1" s="31" t="s">
        <v>108</v>
      </c>
      <c r="C1" s="31" t="s">
        <v>118</v>
      </c>
      <c r="D1" s="31" t="s">
        <v>109</v>
      </c>
    </row>
    <row r="2" spans="1:4" ht="26.5" thickBot="1" x14ac:dyDescent="0.35">
      <c r="A2" s="32">
        <v>1</v>
      </c>
      <c r="B2" s="33" t="s">
        <v>65</v>
      </c>
      <c r="C2" s="34" t="s">
        <v>110</v>
      </c>
      <c r="D2" s="35" t="s">
        <v>144</v>
      </c>
    </row>
    <row r="3" spans="1:4" ht="39" x14ac:dyDescent="0.3">
      <c r="A3" s="51">
        <v>2</v>
      </c>
      <c r="B3" s="54" t="s">
        <v>165</v>
      </c>
      <c r="C3" s="57" t="s">
        <v>110</v>
      </c>
      <c r="D3" s="36" t="s">
        <v>145</v>
      </c>
    </row>
    <row r="4" spans="1:4" x14ac:dyDescent="0.3">
      <c r="A4" s="52"/>
      <c r="B4" s="55"/>
      <c r="C4" s="55"/>
      <c r="D4" s="36" t="s">
        <v>146</v>
      </c>
    </row>
    <row r="5" spans="1:4" x14ac:dyDescent="0.3">
      <c r="A5" s="52"/>
      <c r="B5" s="55"/>
      <c r="C5" s="55"/>
      <c r="D5" s="36" t="s">
        <v>105</v>
      </c>
    </row>
    <row r="6" spans="1:4" x14ac:dyDescent="0.3">
      <c r="A6" s="52"/>
      <c r="B6" s="55"/>
      <c r="C6" s="55"/>
      <c r="D6" s="36" t="s">
        <v>104</v>
      </c>
    </row>
    <row r="7" spans="1:4" x14ac:dyDescent="0.3">
      <c r="A7" s="52"/>
      <c r="B7" s="55"/>
      <c r="C7" s="55"/>
      <c r="D7" s="36" t="s">
        <v>106</v>
      </c>
    </row>
    <row r="8" spans="1:4" ht="13.5" thickBot="1" x14ac:dyDescent="0.35">
      <c r="A8" s="53"/>
      <c r="B8" s="56"/>
      <c r="C8" s="56"/>
      <c r="D8" s="37" t="s">
        <v>107</v>
      </c>
    </row>
    <row r="9" spans="1:4" x14ac:dyDescent="0.3">
      <c r="A9" s="51">
        <v>3</v>
      </c>
      <c r="B9" s="54" t="s">
        <v>162</v>
      </c>
      <c r="C9" s="57" t="s">
        <v>111</v>
      </c>
      <c r="D9" s="36" t="s">
        <v>88</v>
      </c>
    </row>
    <row r="10" spans="1:4" x14ac:dyDescent="0.3">
      <c r="A10" s="52"/>
      <c r="B10" s="55"/>
      <c r="C10" s="55"/>
      <c r="D10" s="36" t="s">
        <v>147</v>
      </c>
    </row>
    <row r="11" spans="1:4" x14ac:dyDescent="0.3">
      <c r="A11" s="52"/>
      <c r="B11" s="55"/>
      <c r="C11" s="55"/>
      <c r="D11" s="36" t="s">
        <v>90</v>
      </c>
    </row>
    <row r="12" spans="1:4" ht="13.5" thickBot="1" x14ac:dyDescent="0.35">
      <c r="A12" s="53"/>
      <c r="B12" s="56"/>
      <c r="C12" s="56"/>
      <c r="D12" s="37" t="s">
        <v>91</v>
      </c>
    </row>
    <row r="13" spans="1:4" x14ac:dyDescent="0.3">
      <c r="A13" s="51">
        <v>4</v>
      </c>
      <c r="B13" s="57" t="s">
        <v>82</v>
      </c>
      <c r="C13" s="57" t="s">
        <v>111</v>
      </c>
      <c r="D13" s="36" t="s">
        <v>24</v>
      </c>
    </row>
    <row r="14" spans="1:4" ht="13.5" thickBot="1" x14ac:dyDescent="0.35">
      <c r="A14" s="53"/>
      <c r="B14" s="56"/>
      <c r="C14" s="56"/>
      <c r="D14" s="37" t="s">
        <v>148</v>
      </c>
    </row>
    <row r="15" spans="1:4" x14ac:dyDescent="0.3">
      <c r="A15" s="51">
        <v>5</v>
      </c>
      <c r="B15" s="57" t="s">
        <v>83</v>
      </c>
      <c r="C15" s="57" t="s">
        <v>111</v>
      </c>
      <c r="D15" s="36" t="s">
        <v>9</v>
      </c>
    </row>
    <row r="16" spans="1:4" ht="13.5" thickBot="1" x14ac:dyDescent="0.35">
      <c r="A16" s="53"/>
      <c r="B16" s="56"/>
      <c r="C16" s="56"/>
      <c r="D16" s="37" t="s">
        <v>10</v>
      </c>
    </row>
    <row r="17" spans="1:4" x14ac:dyDescent="0.3">
      <c r="A17" s="51">
        <v>6</v>
      </c>
      <c r="B17" s="54" t="s">
        <v>171</v>
      </c>
      <c r="C17" s="57" t="s">
        <v>111</v>
      </c>
      <c r="D17" s="36" t="s">
        <v>149</v>
      </c>
    </row>
    <row r="18" spans="1:4" x14ac:dyDescent="0.3">
      <c r="A18" s="52"/>
      <c r="B18" s="55"/>
      <c r="C18" s="55"/>
      <c r="D18" s="36" t="s">
        <v>150</v>
      </c>
    </row>
    <row r="19" spans="1:4" x14ac:dyDescent="0.3">
      <c r="A19" s="52"/>
      <c r="B19" s="55"/>
      <c r="C19" s="55"/>
      <c r="D19" s="36" t="s">
        <v>151</v>
      </c>
    </row>
    <row r="20" spans="1:4" x14ac:dyDescent="0.3">
      <c r="A20" s="52"/>
      <c r="B20" s="55"/>
      <c r="C20" s="55"/>
      <c r="D20" s="36" t="s">
        <v>152</v>
      </c>
    </row>
    <row r="21" spans="1:4" x14ac:dyDescent="0.3">
      <c r="A21" s="52"/>
      <c r="B21" s="55"/>
      <c r="C21" s="55"/>
      <c r="D21" s="36" t="s">
        <v>153</v>
      </c>
    </row>
    <row r="22" spans="1:4" x14ac:dyDescent="0.3">
      <c r="A22" s="52"/>
      <c r="B22" s="55"/>
      <c r="C22" s="55"/>
      <c r="D22" s="36" t="s">
        <v>154</v>
      </c>
    </row>
    <row r="23" spans="1:4" ht="13.5" thickBot="1" x14ac:dyDescent="0.35">
      <c r="A23" s="53"/>
      <c r="B23" s="56"/>
      <c r="C23" s="56"/>
      <c r="D23" s="37" t="s">
        <v>155</v>
      </c>
    </row>
    <row r="24" spans="1:4" x14ac:dyDescent="0.3">
      <c r="A24" s="51">
        <v>7</v>
      </c>
      <c r="B24" s="57" t="s">
        <v>92</v>
      </c>
      <c r="C24" s="57" t="s">
        <v>111</v>
      </c>
      <c r="D24" s="36" t="s">
        <v>156</v>
      </c>
    </row>
    <row r="25" spans="1:4" ht="13.5" thickBot="1" x14ac:dyDescent="0.35">
      <c r="A25" s="53"/>
      <c r="B25" s="56"/>
      <c r="C25" s="56"/>
      <c r="D25" s="37" t="s">
        <v>31</v>
      </c>
    </row>
    <row r="26" spans="1:4" ht="13.5" thickBot="1" x14ac:dyDescent="0.35">
      <c r="A26" s="38">
        <v>8</v>
      </c>
      <c r="B26" s="39" t="s">
        <v>94</v>
      </c>
      <c r="C26" s="39" t="s">
        <v>110</v>
      </c>
      <c r="D26" s="39" t="s">
        <v>11</v>
      </c>
    </row>
    <row r="29" spans="1:4" ht="13.5" thickBot="1" x14ac:dyDescent="0.35"/>
    <row r="30" spans="1:4" x14ac:dyDescent="0.3">
      <c r="A30" s="25" t="s">
        <v>117</v>
      </c>
      <c r="B30" s="26" t="s">
        <v>112</v>
      </c>
      <c r="C30" s="26" t="s">
        <v>118</v>
      </c>
      <c r="D30" s="27" t="s">
        <v>109</v>
      </c>
    </row>
    <row r="31" spans="1:4" x14ac:dyDescent="0.3">
      <c r="A31" s="21">
        <v>1</v>
      </c>
      <c r="B31" s="19" t="s">
        <v>20</v>
      </c>
      <c r="C31" s="19" t="s">
        <v>110</v>
      </c>
      <c r="D31" s="28" t="s">
        <v>20</v>
      </c>
    </row>
    <row r="32" spans="1:4" x14ac:dyDescent="0.3">
      <c r="A32" s="21">
        <v>2</v>
      </c>
      <c r="B32" s="19" t="s">
        <v>84</v>
      </c>
      <c r="C32" s="19" t="s">
        <v>110</v>
      </c>
      <c r="D32" s="28" t="s">
        <v>84</v>
      </c>
    </row>
    <row r="33" spans="1:4" ht="26" x14ac:dyDescent="0.3">
      <c r="A33" s="21">
        <v>3</v>
      </c>
      <c r="B33" s="20" t="s">
        <v>49</v>
      </c>
      <c r="C33" s="19" t="s">
        <v>110</v>
      </c>
      <c r="D33" s="28" t="s">
        <v>49</v>
      </c>
    </row>
    <row r="34" spans="1:4" x14ac:dyDescent="0.3">
      <c r="A34" s="21">
        <v>4</v>
      </c>
      <c r="B34" s="20" t="s">
        <v>79</v>
      </c>
      <c r="C34" s="19" t="s">
        <v>110</v>
      </c>
      <c r="D34" s="28" t="s">
        <v>79</v>
      </c>
    </row>
    <row r="35" spans="1:4" ht="26" x14ac:dyDescent="0.3">
      <c r="A35" s="21">
        <v>5</v>
      </c>
      <c r="B35" s="20" t="s">
        <v>21</v>
      </c>
      <c r="C35" s="19" t="s">
        <v>110</v>
      </c>
      <c r="D35" s="28" t="s">
        <v>21</v>
      </c>
    </row>
    <row r="36" spans="1:4" x14ac:dyDescent="0.3">
      <c r="A36" s="21">
        <v>6</v>
      </c>
      <c r="B36" s="20" t="s">
        <v>86</v>
      </c>
      <c r="C36" s="19" t="s">
        <v>111</v>
      </c>
      <c r="D36" s="28" t="s">
        <v>86</v>
      </c>
    </row>
    <row r="37" spans="1:4" x14ac:dyDescent="0.3">
      <c r="A37" s="21">
        <v>7</v>
      </c>
      <c r="B37" s="19" t="s">
        <v>87</v>
      </c>
      <c r="C37" s="19" t="s">
        <v>111</v>
      </c>
      <c r="D37" s="28" t="s">
        <v>87</v>
      </c>
    </row>
    <row r="38" spans="1:4" x14ac:dyDescent="0.3">
      <c r="A38" s="21">
        <v>8</v>
      </c>
      <c r="B38" s="20" t="s">
        <v>102</v>
      </c>
      <c r="C38" s="19" t="s">
        <v>110</v>
      </c>
      <c r="D38" s="28" t="s">
        <v>102</v>
      </c>
    </row>
    <row r="39" spans="1:4" x14ac:dyDescent="0.3">
      <c r="A39" s="21">
        <v>9</v>
      </c>
      <c r="B39" s="19" t="s">
        <v>103</v>
      </c>
      <c r="C39" s="19" t="s">
        <v>110</v>
      </c>
      <c r="D39" s="28" t="s">
        <v>103</v>
      </c>
    </row>
    <row r="40" spans="1:4" x14ac:dyDescent="0.3">
      <c r="A40" s="21">
        <v>10</v>
      </c>
      <c r="B40" s="19" t="s">
        <v>23</v>
      </c>
      <c r="C40" s="19" t="s">
        <v>111</v>
      </c>
      <c r="D40" s="28" t="s">
        <v>23</v>
      </c>
    </row>
    <row r="41" spans="1:4" x14ac:dyDescent="0.3">
      <c r="A41" s="21">
        <v>11</v>
      </c>
      <c r="B41" s="20" t="s">
        <v>113</v>
      </c>
      <c r="C41" s="19" t="s">
        <v>111</v>
      </c>
      <c r="D41" s="28" t="s">
        <v>113</v>
      </c>
    </row>
    <row r="42" spans="1:4" x14ac:dyDescent="0.3">
      <c r="A42" s="21">
        <v>12</v>
      </c>
      <c r="B42" s="19" t="s">
        <v>114</v>
      </c>
      <c r="C42" s="19" t="s">
        <v>110</v>
      </c>
      <c r="D42" s="28" t="s">
        <v>114</v>
      </c>
    </row>
    <row r="43" spans="1:4" x14ac:dyDescent="0.3">
      <c r="A43" s="21">
        <v>13</v>
      </c>
      <c r="B43" s="19" t="s">
        <v>98</v>
      </c>
      <c r="C43" s="19" t="s">
        <v>111</v>
      </c>
      <c r="D43" s="28" t="s">
        <v>98</v>
      </c>
    </row>
    <row r="44" spans="1:4" x14ac:dyDescent="0.3">
      <c r="A44" s="21">
        <v>14</v>
      </c>
      <c r="B44" s="19" t="s">
        <v>115</v>
      </c>
      <c r="C44" s="19" t="s">
        <v>111</v>
      </c>
      <c r="D44" s="28" t="s">
        <v>115</v>
      </c>
    </row>
    <row r="45" spans="1:4" x14ac:dyDescent="0.3">
      <c r="A45" s="21">
        <v>15</v>
      </c>
      <c r="B45" s="19" t="s">
        <v>100</v>
      </c>
      <c r="C45" s="19" t="s">
        <v>111</v>
      </c>
      <c r="D45" s="28" t="s">
        <v>100</v>
      </c>
    </row>
    <row r="46" spans="1:4" x14ac:dyDescent="0.3">
      <c r="A46" s="21">
        <v>16</v>
      </c>
      <c r="B46" s="19" t="s">
        <v>116</v>
      </c>
      <c r="C46" s="19" t="s">
        <v>111</v>
      </c>
      <c r="D46" s="28" t="s">
        <v>116</v>
      </c>
    </row>
    <row r="47" spans="1:4" ht="13.5" thickBot="1" x14ac:dyDescent="0.35">
      <c r="A47" s="22">
        <v>17</v>
      </c>
      <c r="B47" s="23" t="s">
        <v>101</v>
      </c>
      <c r="C47" s="23" t="s">
        <v>111</v>
      </c>
      <c r="D47" s="24" t="s">
        <v>101</v>
      </c>
    </row>
  </sheetData>
  <mergeCells count="18">
    <mergeCell ref="A17:A23"/>
    <mergeCell ref="B17:B23"/>
    <mergeCell ref="C17:C23"/>
    <mergeCell ref="A24:A25"/>
    <mergeCell ref="B24:B25"/>
    <mergeCell ref="C24:C25"/>
    <mergeCell ref="A13:A14"/>
    <mergeCell ref="B13:B14"/>
    <mergeCell ref="C13:C14"/>
    <mergeCell ref="A15:A16"/>
    <mergeCell ref="B15:B16"/>
    <mergeCell ref="C15:C16"/>
    <mergeCell ref="A3:A8"/>
    <mergeCell ref="B3:B8"/>
    <mergeCell ref="C3:C8"/>
    <mergeCell ref="A9:A12"/>
    <mergeCell ref="B9:B12"/>
    <mergeCell ref="C9:C1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Selection screen</vt:lpstr>
      <vt:lpstr>Logic_input</vt:lpstr>
      <vt:lpstr>Logic output</vt:lpstr>
      <vt:lpstr>T code and Z table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Vanani</dc:creator>
  <cp:lastModifiedBy>Singh, Satyendra</cp:lastModifiedBy>
  <dcterms:created xsi:type="dcterms:W3CDTF">2026-07-17T08:14:24Z</dcterms:created>
  <dcterms:modified xsi:type="dcterms:W3CDTF">2026-08-24T17:01:38Z</dcterms:modified>
</cp:coreProperties>
</file>
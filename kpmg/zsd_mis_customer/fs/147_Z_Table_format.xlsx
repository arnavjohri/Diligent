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india365-my.sharepoint.com/personal/satyendrasingh1_kpmg_com1/Documents/Astral/Functional specification_Phase2_RICEFW/Overall CC MIS (Summary wise and customer wise)/Approved MIS &amp; Z table)/"/>
    </mc:Choice>
  </mc:AlternateContent>
  <xr:revisionPtr revIDLastSave="2" documentId="8_{FE5CB751-6DC7-4D50-B270-19D4A8274E07}" xr6:coauthVersionLast="47" xr6:coauthVersionMax="47" xr10:uidLastSave="{1CAB4A1B-1261-4912-9D14-E2B063D1F42F}"/>
  <bookViews>
    <workbookView xWindow="-110" yWindow="-110" windowWidth="19420" windowHeight="11500" xr2:uid="{721E3243-D233-4C53-987C-E4D97C4AD143}"/>
  </bookViews>
  <sheets>
    <sheet name="FY - 25-26  dealer wise" sheetId="2" r:id="rId1"/>
  </sheets>
  <definedNames>
    <definedName name="_xlnm._FilterDatabase" localSheetId="0" hidden="1">'FY - 25-26  dealer wise'!$A$3:$CE$3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4" i="2" l="1"/>
  <c r="BY4" i="2"/>
  <c r="BZ4" i="2"/>
  <c r="CA4" i="2"/>
  <c r="CB4" i="2"/>
  <c r="CC4" i="2"/>
  <c r="BX5" i="2"/>
  <c r="BY5" i="2"/>
  <c r="BZ5" i="2"/>
  <c r="CA5" i="2"/>
  <c r="CB5" i="2"/>
  <c r="CC5" i="2"/>
  <c r="BX6" i="2"/>
  <c r="BY6" i="2"/>
  <c r="BZ6" i="2"/>
  <c r="CA6" i="2"/>
  <c r="CB6" i="2"/>
  <c r="CC6" i="2"/>
  <c r="BX7" i="2"/>
  <c r="BY7" i="2"/>
  <c r="BZ7" i="2"/>
  <c r="CA7" i="2"/>
  <c r="CB7" i="2"/>
  <c r="CC7" i="2"/>
  <c r="BX8" i="2"/>
  <c r="BY8" i="2"/>
  <c r="BZ8" i="2"/>
  <c r="CA8" i="2"/>
  <c r="CB8" i="2"/>
  <c r="CC8" i="2"/>
  <c r="BX9" i="2"/>
  <c r="BY9" i="2"/>
  <c r="BZ9" i="2"/>
  <c r="CA9" i="2"/>
  <c r="CB9" i="2"/>
  <c r="CC9" i="2"/>
  <c r="BX10" i="2"/>
  <c r="BY10" i="2"/>
  <c r="BZ10" i="2"/>
  <c r="CA10" i="2"/>
  <c r="CB10" i="2"/>
  <c r="CC10" i="2"/>
  <c r="BX11" i="2"/>
  <c r="BY11" i="2"/>
  <c r="BZ11" i="2"/>
  <c r="CA11" i="2"/>
  <c r="CB11" i="2"/>
  <c r="CC11" i="2"/>
  <c r="BX12" i="2"/>
  <c r="BY12" i="2"/>
  <c r="BZ12" i="2"/>
  <c r="CA12" i="2"/>
  <c r="CB12" i="2"/>
  <c r="CC12" i="2"/>
  <c r="BX13" i="2"/>
  <c r="BY13" i="2"/>
  <c r="BZ13" i="2"/>
  <c r="CA13" i="2"/>
  <c r="CB13" i="2"/>
  <c r="CC13" i="2"/>
  <c r="CA2" i="2" l="1"/>
  <c r="CC2" i="2"/>
  <c r="CB2" i="2"/>
  <c r="BZ2" i="2"/>
  <c r="BY2" i="2"/>
  <c r="BX2" i="2"/>
  <c r="BW2" i="2"/>
  <c r="BV2" i="2"/>
  <c r="BT2" i="2"/>
  <c r="BS2" i="2"/>
  <c r="BR2" i="2"/>
  <c r="BQ2" i="2"/>
  <c r="BP2" i="2"/>
  <c r="BN2" i="2"/>
  <c r="BM2" i="2"/>
  <c r="BL2" i="2"/>
  <c r="BK2" i="2"/>
  <c r="BJ2" i="2"/>
  <c r="BH2" i="2"/>
  <c r="BG2" i="2"/>
  <c r="BF2" i="2"/>
  <c r="BE2" i="2"/>
  <c r="BD2" i="2"/>
  <c r="BB2" i="2"/>
  <c r="BA2" i="2"/>
  <c r="AZ2" i="2"/>
  <c r="AY2" i="2"/>
  <c r="AX2" i="2"/>
  <c r="AV2" i="2"/>
  <c r="AU2" i="2"/>
  <c r="AT2" i="2"/>
  <c r="AS2" i="2"/>
  <c r="AR2" i="2"/>
  <c r="AP2" i="2"/>
  <c r="AO2" i="2"/>
  <c r="AN2" i="2"/>
  <c r="AM2" i="2"/>
  <c r="AL2" i="2"/>
  <c r="AJ2" i="2"/>
  <c r="AI2" i="2"/>
  <c r="AH2" i="2"/>
  <c r="AG2" i="2"/>
  <c r="AF2" i="2"/>
  <c r="AD2" i="2"/>
  <c r="AC2" i="2"/>
  <c r="AB2" i="2"/>
  <c r="AA2" i="2"/>
  <c r="Z2" i="2"/>
  <c r="X2" i="2"/>
  <c r="W2" i="2"/>
  <c r="V2" i="2"/>
  <c r="U2" i="2"/>
  <c r="T2" i="2"/>
  <c r="R2" i="2"/>
  <c r="Q2" i="2"/>
  <c r="P2" i="2"/>
  <c r="O2" i="2"/>
  <c r="N2" i="2"/>
  <c r="L2" i="2"/>
  <c r="K2" i="2"/>
  <c r="J2" i="2"/>
  <c r="I2" i="2"/>
  <c r="H2" i="2"/>
  <c r="F2" i="2"/>
  <c r="E2" i="2"/>
  <c r="D2" i="2"/>
  <c r="G2" i="2" l="1"/>
  <c r="AW2" i="2"/>
  <c r="Y2" i="2"/>
  <c r="AE2" i="2"/>
  <c r="S2" i="2"/>
  <c r="BU2" i="2"/>
  <c r="BO2" i="2"/>
  <c r="BI2" i="2"/>
  <c r="AQ2" i="2"/>
  <c r="M2" i="2"/>
  <c r="BC2" i="2"/>
  <c r="AK2" i="2"/>
</calcChain>
</file>

<file path=xl/sharedStrings.xml><?xml version="1.0" encoding="utf-8"?>
<sst xmlns="http://schemas.openxmlformats.org/spreadsheetml/2006/main" count="231" uniqueCount="205">
  <si>
    <t>Customer Code</t>
  </si>
  <si>
    <t>Sales (GL Post Net) - Apr'25</t>
  </si>
  <si>
    <t>Sales - Gross - Apr'25</t>
  </si>
  <si>
    <t>Collection - Apr'25</t>
  </si>
  <si>
    <t>Sales return - Apr'25 Net</t>
  </si>
  <si>
    <t>Sales return - Apr'25 Gross</t>
  </si>
  <si>
    <t>Credit Note - Apr'25</t>
  </si>
  <si>
    <t>Sales (GL Post Net) - May'25</t>
  </si>
  <si>
    <t>Sales - Gross - May'25</t>
  </si>
  <si>
    <t>Collection - May'25</t>
  </si>
  <si>
    <t>Sales return - May'25 Net</t>
  </si>
  <si>
    <t>Sales return - May'25 Gross</t>
  </si>
  <si>
    <t>Credit Note - May'25</t>
  </si>
  <si>
    <t>Sales (GL Post Net) - Jun'25</t>
  </si>
  <si>
    <t>Sales - Gross - Jun'25</t>
  </si>
  <si>
    <t>Collection - Jun'25</t>
  </si>
  <si>
    <t>Sales return - Jun'25 Net</t>
  </si>
  <si>
    <t>Sales return - Jun'25 Gross</t>
  </si>
  <si>
    <t>Credit Note - Jun'25</t>
  </si>
  <si>
    <t>Sales (GL Post Net) - Jul'25</t>
  </si>
  <si>
    <t>Sales - Gross - Jul'25</t>
  </si>
  <si>
    <t>Collection - Jul'25</t>
  </si>
  <si>
    <t>Sales return - Jul'25 Net</t>
  </si>
  <si>
    <t>Sales return - Jul'25 Gross</t>
  </si>
  <si>
    <t>Credit Note - Jul'25</t>
  </si>
  <si>
    <t>Sales (GL Post Net) - Aug'25</t>
  </si>
  <si>
    <t>Sales - Gross - Aug'25</t>
  </si>
  <si>
    <t>Collection - Aug'25</t>
  </si>
  <si>
    <t>Sales return - Aug'25 Net</t>
  </si>
  <si>
    <t>Sales return - Aug'25 Gross</t>
  </si>
  <si>
    <t>Credit Note - Aug'25</t>
  </si>
  <si>
    <t>Sales (GL Post Net) - Sept'25</t>
  </si>
  <si>
    <t>Sales - Gross - Sept'25</t>
  </si>
  <si>
    <t>Collection - Sept'25</t>
  </si>
  <si>
    <t>Sales return - Sept'25 Net</t>
  </si>
  <si>
    <t>Sales return - Sept'25 Gross</t>
  </si>
  <si>
    <t>Credit Note - Sept'25</t>
  </si>
  <si>
    <t>Sales (GL Post Net) - Oct'25</t>
  </si>
  <si>
    <t>Sales - Gross - Oct'25</t>
  </si>
  <si>
    <t>Collection - Oct'25</t>
  </si>
  <si>
    <t>Sales return - Oct'25 Net</t>
  </si>
  <si>
    <t>Sales return - Oct'25 Gross</t>
  </si>
  <si>
    <t>Credit Note - Oct'25</t>
  </si>
  <si>
    <t>Sales (GL Post Net) - Nov'25</t>
  </si>
  <si>
    <t>Sales - Gross - Nov'25</t>
  </si>
  <si>
    <t>Collection - Nov'25</t>
  </si>
  <si>
    <t>Sales return - Nov'25 Net</t>
  </si>
  <si>
    <t>Sales return - Nov'25 Gross</t>
  </si>
  <si>
    <t>Credit Note - Nov'25</t>
  </si>
  <si>
    <t>Sales (GL Post Net) - Dec'25</t>
  </si>
  <si>
    <t>Sales - Gross - Dec'25</t>
  </si>
  <si>
    <t>Collection - Dec'25</t>
  </si>
  <si>
    <t>Sales return - Dec'25 Net</t>
  </si>
  <si>
    <t>Sales return - Dec'25 Gross</t>
  </si>
  <si>
    <t>Credit Note - Dec'25</t>
  </si>
  <si>
    <t>Sales (GL Post Net) - Jan'26</t>
  </si>
  <si>
    <t>Sales - Gross - Jan'26</t>
  </si>
  <si>
    <t>Collection - Jan'26</t>
  </si>
  <si>
    <t>Sales return - Jan'26 Net</t>
  </si>
  <si>
    <t>Sales return - Jan'26 Gross</t>
  </si>
  <si>
    <t>Credit Note - Jan'26</t>
  </si>
  <si>
    <t>Sales (GL Post Net) - Feb'26</t>
  </si>
  <si>
    <t>Sales - Gross - Feb'26</t>
  </si>
  <si>
    <t>Collection - Feb'26</t>
  </si>
  <si>
    <t>Sales return - Feb'26 Net</t>
  </si>
  <si>
    <t>Sales return - Feb'26 Gross</t>
  </si>
  <si>
    <t>Credit Note - Feb'26</t>
  </si>
  <si>
    <t>Sales (GL Post Net) - Mar'26</t>
  </si>
  <si>
    <t>Sales - Gross - Mar'26</t>
  </si>
  <si>
    <t>Collection - Mar'26</t>
  </si>
  <si>
    <t>Sales return - Mar'26 Net</t>
  </si>
  <si>
    <t>Sales return - Mar'26 Gross</t>
  </si>
  <si>
    <t>Credit Note - Mar'26</t>
  </si>
  <si>
    <t>Total Sales (GL Post Net) FY 2025-26</t>
  </si>
  <si>
    <t>Sales - Gross FY 2025-26</t>
  </si>
  <si>
    <t>Collection FY 2025-26</t>
  </si>
  <si>
    <t>Sales return - Net FY 2025-26</t>
  </si>
  <si>
    <t>Sales return - Gross FY 2025-26</t>
  </si>
  <si>
    <t>Credit Note FY 2025-26</t>
  </si>
  <si>
    <t>Default invoice % (FY 2025-26)</t>
  </si>
  <si>
    <t>CEI % (FY 2025-26)</t>
  </si>
  <si>
    <t>0%</t>
  </si>
  <si>
    <t>NA</t>
  </si>
  <si>
    <t>100%</t>
  </si>
  <si>
    <t>76%</t>
  </si>
  <si>
    <t>65%</t>
  </si>
  <si>
    <t>7%</t>
  </si>
  <si>
    <t>44%</t>
  </si>
  <si>
    <t>28%</t>
  </si>
  <si>
    <t>33%</t>
  </si>
  <si>
    <t>57%</t>
  </si>
  <si>
    <t>61%</t>
  </si>
  <si>
    <t>78%</t>
  </si>
  <si>
    <t>90%</t>
  </si>
  <si>
    <t>Avg. Clearing Days (FY 2025-26)</t>
  </si>
  <si>
    <t>Avg. Clearing Days (Current FY)</t>
  </si>
  <si>
    <t>Security cheques</t>
  </si>
  <si>
    <t>Legal 
Status</t>
  </si>
  <si>
    <t>Dispute/Sales Return/CN Pending/DN amount</t>
  </si>
  <si>
    <t>Projected
Legal /Demand Notice (Under Approval)</t>
  </si>
  <si>
    <t>Debts Collection Agency</t>
  </si>
  <si>
    <t>Exception Approval taken in 
Current Year (FY)</t>
  </si>
  <si>
    <t>YES</t>
  </si>
  <si>
    <t>No</t>
  </si>
  <si>
    <t>NO</t>
  </si>
  <si>
    <t>No Clearing data</t>
  </si>
  <si>
    <t>Yes</t>
  </si>
  <si>
    <t>ZCUSTOMER</t>
  </si>
  <si>
    <t>ZCOLLECTION</t>
  </si>
  <si>
    <t>ZSALESGL_APR</t>
  </si>
  <si>
    <t>ZSALES_GROSS_APR</t>
  </si>
  <si>
    <t>ZCOLLEDTION_APR</t>
  </si>
  <si>
    <t>ZSALE_RET_NET_APR</t>
  </si>
  <si>
    <t>ZSALES_RET_GROSS_APR</t>
  </si>
  <si>
    <t>ZCREDITNOTE_APR</t>
  </si>
  <si>
    <t>ZSALE_NET_MAY</t>
  </si>
  <si>
    <t>ZSALE_GROSS_MAY</t>
  </si>
  <si>
    <t>ZCOLLECTION_MAY</t>
  </si>
  <si>
    <t>ZSALE_RETURN_NET_MAY</t>
  </si>
  <si>
    <t>ZCREDIT_NOTE_MAY</t>
  </si>
  <si>
    <t>ZSALE_NET_JUNE</t>
  </si>
  <si>
    <t>ZSALE_GROSS_JUNE</t>
  </si>
  <si>
    <t>ZCOLLECTION_JUNE</t>
  </si>
  <si>
    <t>ZSALE_RETURN_NET_JUNE</t>
  </si>
  <si>
    <t>ZSALE_RETURN_GROSS_JUNE</t>
  </si>
  <si>
    <t>ZCREDIT_JUNE</t>
  </si>
  <si>
    <t>ZSALE_NET_JULY</t>
  </si>
  <si>
    <t>ZSALE_GROSS_JULY</t>
  </si>
  <si>
    <t>ZCOLLECTION_JULY</t>
  </si>
  <si>
    <t>ZSALE_RETURN_NET_JULY</t>
  </si>
  <si>
    <t>ZSALE_RETURN_GROSS_JULY</t>
  </si>
  <si>
    <t>ZCREDIT_JULY</t>
  </si>
  <si>
    <t>ZSALE_NET_AUG</t>
  </si>
  <si>
    <t>ZSALE_GROSS_AUG</t>
  </si>
  <si>
    <t>ZCOLLECTION_AUG</t>
  </si>
  <si>
    <t>ZSALE_RETRUN_NET_AUG</t>
  </si>
  <si>
    <t>ZSALE_RETURN_GROSS_AUG</t>
  </si>
  <si>
    <t>ZCREDIT_NOTE_AUG</t>
  </si>
  <si>
    <t>ZSALE_NET_SEPT</t>
  </si>
  <si>
    <t>ZSALE_GROSS_SEPT</t>
  </si>
  <si>
    <t>ZCOLLECTION_SEPT</t>
  </si>
  <si>
    <t>ZSALE_RETURN_NET_SEPT</t>
  </si>
  <si>
    <t>ZSALE_RETURN_GROSS_SEPT</t>
  </si>
  <si>
    <t>ZCREDIT_SEPT</t>
  </si>
  <si>
    <t>ZSALE_NET_OCT</t>
  </si>
  <si>
    <t>ZSALE_GROSS_OCT</t>
  </si>
  <si>
    <t>ZCOLLECTION_OCT</t>
  </si>
  <si>
    <t>ZSALE_RETURN_NET_OCT</t>
  </si>
  <si>
    <t>ZSALE_RETURN_GROSS_OCT</t>
  </si>
  <si>
    <t>ZCREDIT_NOTE_OCT</t>
  </si>
  <si>
    <t>ZSALE_NET_NOV</t>
  </si>
  <si>
    <t>ZSALE_GROSS_NOV</t>
  </si>
  <si>
    <t>ZCOLLECTION_NOV</t>
  </si>
  <si>
    <t>ZSALE_RETURN_NET</t>
  </si>
  <si>
    <t>ZSALE_RETURN_NET_NOV</t>
  </si>
  <si>
    <t>ZSALE_RETURN_GROSS_NOV</t>
  </si>
  <si>
    <t>ZCREDIT_NOTE_NOV</t>
  </si>
  <si>
    <t>ZSALE_NET_DEC</t>
  </si>
  <si>
    <t>ZSALE_GROSS_DEC</t>
  </si>
  <si>
    <t>ZCOLLECTION_DEC</t>
  </si>
  <si>
    <t>ZSALE_RETURN_NET_DEC</t>
  </si>
  <si>
    <t>ZSALE_RETURN_GROSS_DEC</t>
  </si>
  <si>
    <t>ZCREDIT_NOTE_DEC</t>
  </si>
  <si>
    <t>ZSALE_NET_JAN</t>
  </si>
  <si>
    <t>ZSALE_GROSS_JAN</t>
  </si>
  <si>
    <t>ZCOLLECTION_JAN</t>
  </si>
  <si>
    <t>ZSALE_RETURN_NET_JAN</t>
  </si>
  <si>
    <t>ZSALE_GROSS_RETURN</t>
  </si>
  <si>
    <t>ZCREDIT_NOTE_JAN</t>
  </si>
  <si>
    <t>ZSALE_NET_FEB</t>
  </si>
  <si>
    <t>ZSALE_GROSS_FEB</t>
  </si>
  <si>
    <t>ZCOLLECTION_FEB</t>
  </si>
  <si>
    <t>ZSALE_RETURN_NET_FEB</t>
  </si>
  <si>
    <t>ZSALE_RETURN_GROSS_FEB</t>
  </si>
  <si>
    <t>ZCREDIT_NOTE_FEB</t>
  </si>
  <si>
    <t>ZSALE_NET_MAR</t>
  </si>
  <si>
    <t>ZSALE_GROSS_MAR</t>
  </si>
  <si>
    <t>ZCOLLECION_MAR</t>
  </si>
  <si>
    <t>ZSALE_RETURN_NET_MAR</t>
  </si>
  <si>
    <t>ZSALE_RETURN_GROSS_MAR</t>
  </si>
  <si>
    <t>ZCREDIT_NOTE_MAR</t>
  </si>
  <si>
    <t>ZTOTSALE_NET</t>
  </si>
  <si>
    <t>ZSALE_GROSS</t>
  </si>
  <si>
    <t>ZSALE_RETURN_GROSS</t>
  </si>
  <si>
    <t>ZCREDIT_NOTE</t>
  </si>
  <si>
    <t>ZCEI_PERCENTAGE</t>
  </si>
  <si>
    <t>ZDEF_INV_PERCENTAGE</t>
  </si>
  <si>
    <t>ZAVG_CLEAR_DAY_CY</t>
  </si>
  <si>
    <t>ZAVG_CLEAR_DAYS_LY</t>
  </si>
  <si>
    <t>ZSEC_CHQ</t>
  </si>
  <si>
    <t>ZLEG_STAT</t>
  </si>
  <si>
    <t>ZDIS_SALRET_CNDN_AMT</t>
  </si>
  <si>
    <t>ZLEG_DEM_NOTICE</t>
  </si>
  <si>
    <t>ZDEBT_COLL_AGENCY</t>
  </si>
  <si>
    <t>ZEXCP_APP_CY</t>
  </si>
  <si>
    <t>Sales org</t>
  </si>
  <si>
    <t>Fiscal Year</t>
  </si>
  <si>
    <t>ZSALE_ORG</t>
  </si>
  <si>
    <t>ZYEAR</t>
  </si>
  <si>
    <t>ZCF_LIMIT</t>
  </si>
  <si>
    <t>ZCF_CHILD_LIMIT</t>
  </si>
  <si>
    <t>Channel Finance limit
Current year</t>
  </si>
  <si>
    <t>Channel Finance child limit
Current year</t>
  </si>
  <si>
    <t xml:space="preserve">Critical OD count of invoices in last 2 years </t>
  </si>
  <si>
    <t>ZSD_CODC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</si>
</sst>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0" fillId="0" borderId="1" xfId="0" applyBorder="1"/>
    <xf numFmtId="165" fontId="0" fillId="0" borderId="1" xfId="1" applyNumberFormat="1" applyFont="1" applyBorder="1"/>
    <xf numFmtId="0" fontId="3" fillId="0" borderId="1" xfId="0" applyFont="1" applyBorder="1" applyAlignment="1">
      <alignment vertical="top"/>
    </xf>
    <xf numFmtId="164" fontId="0" fillId="0" borderId="1" xfId="1" applyFont="1" applyBorder="1"/>
    <xf numFmtId="165" fontId="3" fillId="0" borderId="1" xfId="1" applyNumberFormat="1" applyFont="1" applyBorder="1" applyAlignment="1">
      <alignment vertical="center"/>
    </xf>
    <xf numFmtId="0" fontId="2" fillId="0" borderId="0" xfId="0" applyFont="1"/>
    <xf numFmtId="165" fontId="4" fillId="2" borderId="1" xfId="1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5" fontId="5" fillId="4" borderId="1" xfId="1" applyNumberFormat="1" applyFont="1" applyFill="1" applyBorder="1" applyAlignment="1">
      <alignment horizontal="center" vertical="center" wrapText="1"/>
    </xf>
    <xf numFmtId="165" fontId="5" fillId="5" borderId="1" xfId="1" applyNumberFormat="1" applyFont="1" applyFill="1" applyBorder="1" applyAlignment="1">
      <alignment horizontal="center" vertical="center" wrapText="1"/>
    </xf>
    <xf numFmtId="165" fontId="5" fillId="6" borderId="1" xfId="1" applyNumberFormat="1" applyFont="1" applyFill="1" applyBorder="1" applyAlignment="1">
      <alignment horizontal="center" vertical="center" wrapText="1"/>
    </xf>
    <xf numFmtId="165" fontId="5" fillId="7" borderId="1" xfId="1" applyNumberFormat="1" applyFont="1" applyFill="1" applyBorder="1" applyAlignment="1">
      <alignment horizontal="center" vertical="center" wrapText="1"/>
    </xf>
    <xf numFmtId="165" fontId="5" fillId="8" borderId="1" xfId="1" applyNumberFormat="1" applyFont="1" applyFill="1" applyBorder="1" applyAlignment="1">
      <alignment horizontal="center" vertical="center" wrapText="1"/>
    </xf>
    <xf numFmtId="165" fontId="5" fillId="9" borderId="1" xfId="1" applyNumberFormat="1" applyFont="1" applyFill="1" applyBorder="1" applyAlignment="1">
      <alignment horizontal="center" vertical="center" wrapText="1"/>
    </xf>
    <xf numFmtId="164" fontId="6" fillId="10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165" fontId="3" fillId="0" borderId="0" xfId="1" applyNumberFormat="1" applyFont="1" applyFill="1" applyBorder="1" applyAlignment="1">
      <alignment vertical="center"/>
    </xf>
    <xf numFmtId="164" fontId="0" fillId="0" borderId="0" xfId="1" applyFont="1" applyFill="1" applyBorder="1"/>
    <xf numFmtId="165" fontId="0" fillId="0" borderId="0" xfId="1" applyNumberFormat="1" applyFont="1" applyFill="1" applyBorder="1"/>
  </cellXfs>
  <cellStyles count="4">
    <cellStyle name="Comma" xfId="1" builtinId="3"/>
    <cellStyle name="Comma 4" xfId="3" xr:uid="{4B907D4F-9FE7-44CB-84B8-8C1A0D2146E4}"/>
    <cellStyle name="Comma 5" xfId="2" xr:uid="{23A96891-AE54-4625-928F-BBEAB021048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DF76-3FF8-401B-BC6F-560990751CF0}">
  <dimension ref="A2:CP16"/>
  <sheetViews>
    <sheetView showGridLines="0" tabSelected="1" topLeftCell="CG1" zoomScaleNormal="100" workbookViewId="0">
      <selection activeCell="CP19" sqref="CP19"/>
    </sheetView>
  </sheetViews>
  <sheetFormatPr defaultColWidth="8.90625" defaultRowHeight="14.5" x14ac:dyDescent="0.35"/>
  <cols>
    <col min="1" max="1" width="12.54296875" bestFit="1" customWidth="1"/>
    <col min="2" max="3" width="12.54296875" customWidth="1"/>
    <col min="4" max="4" width="13" bestFit="1" customWidth="1"/>
    <col min="5" max="5" width="18.453125" style="1" bestFit="1" customWidth="1"/>
    <col min="6" max="6" width="17.6328125" style="1" bestFit="1" customWidth="1"/>
    <col min="7" max="7" width="19.36328125" style="1" bestFit="1" customWidth="1"/>
    <col min="8" max="8" width="22.6328125" bestFit="1" customWidth="1"/>
    <col min="9" max="9" width="17.81640625" bestFit="1" customWidth="1"/>
    <col min="10" max="10" width="15.81640625" style="1" bestFit="1" customWidth="1"/>
    <col min="11" max="11" width="18.1796875" style="1" bestFit="1" customWidth="1"/>
    <col min="12" max="12" width="18.08984375" bestFit="1" customWidth="1"/>
    <col min="13" max="13" width="23.81640625" bestFit="1" customWidth="1"/>
    <col min="14" max="14" width="18.1796875" bestFit="1" customWidth="1"/>
    <col min="15" max="15" width="19.36328125" bestFit="1" customWidth="1"/>
    <col min="16" max="16" width="16.08984375" style="1" bestFit="1" customWidth="1"/>
    <col min="17" max="17" width="18.453125" style="1" bestFit="1" customWidth="1"/>
    <col min="18" max="18" width="18.36328125" style="1" bestFit="1" customWidth="1"/>
    <col min="19" max="19" width="24" style="1" bestFit="1" customWidth="1"/>
    <col min="20" max="20" width="26.36328125" style="1" bestFit="1" customWidth="1"/>
    <col min="21" max="21" width="13.90625" style="1" bestFit="1" customWidth="1"/>
    <col min="22" max="22" width="15.6328125" bestFit="1" customWidth="1"/>
    <col min="23" max="23" width="18" bestFit="1" customWidth="1"/>
    <col min="24" max="24" width="17.90625" bestFit="1" customWidth="1"/>
    <col min="25" max="25" width="23.54296875" bestFit="1" customWidth="1"/>
    <col min="26" max="26" width="25.90625" bestFit="1" customWidth="1"/>
    <col min="27" max="27" width="13.453125" bestFit="1" customWidth="1"/>
    <col min="28" max="28" width="15.6328125" style="1" bestFit="1" customWidth="1"/>
    <col min="29" max="29" width="18" style="1" bestFit="1" customWidth="1"/>
    <col min="30" max="30" width="17.90625" style="1" bestFit="1" customWidth="1"/>
    <col min="31" max="31" width="23.54296875" style="1" bestFit="1" customWidth="1"/>
    <col min="32" max="32" width="25.90625" style="1" bestFit="1" customWidth="1"/>
    <col min="33" max="33" width="19.1796875" style="1" bestFit="1" customWidth="1"/>
    <col min="34" max="34" width="15.81640625" style="1" bestFit="1" customWidth="1"/>
    <col min="35" max="35" width="18.1796875" bestFit="1" customWidth="1"/>
    <col min="36" max="36" width="18.08984375" bestFit="1" customWidth="1"/>
    <col min="37" max="37" width="23.81640625" bestFit="1" customWidth="1"/>
    <col min="38" max="38" width="26.08984375" bestFit="1" customWidth="1"/>
    <col min="39" max="39" width="13.6328125" bestFit="1" customWidth="1"/>
    <col min="40" max="40" width="15.36328125" style="1" bestFit="1" customWidth="1"/>
    <col min="41" max="41" width="17.81640625" style="1" bestFit="1" customWidth="1"/>
    <col min="42" max="42" width="17.6328125" style="1" bestFit="1" customWidth="1"/>
    <col min="43" max="43" width="23.1796875" style="1" bestFit="1" customWidth="1"/>
    <col min="44" max="44" width="25.6328125" style="1" bestFit="1" customWidth="1"/>
    <col min="45" max="45" width="18.90625" style="1" bestFit="1" customWidth="1"/>
    <col min="46" max="46" width="15.6328125" style="1" bestFit="1" customWidth="1"/>
    <col min="47" max="47" width="18" style="1" bestFit="1" customWidth="1"/>
    <col min="48" max="48" width="17.90625" bestFit="1" customWidth="1"/>
    <col min="49" max="49" width="23.54296875" bestFit="1" customWidth="1"/>
    <col min="50" max="50" width="25.90625" bestFit="1" customWidth="1"/>
    <col min="51" max="51" width="19.1796875" bestFit="1" customWidth="1"/>
    <col min="52" max="52" width="15.1796875" bestFit="1" customWidth="1"/>
    <col min="53" max="53" width="17.6328125" bestFit="1" customWidth="1"/>
    <col min="54" max="54" width="17.54296875" style="1" bestFit="1" customWidth="1"/>
    <col min="55" max="55" width="23.1796875" style="1" bestFit="1" customWidth="1"/>
    <col min="56" max="56" width="25.54296875" bestFit="1" customWidth="1"/>
    <col min="57" max="57" width="18.81640625" bestFit="1" customWidth="1"/>
    <col min="58" max="58" width="15" style="1" bestFit="1" customWidth="1"/>
    <col min="59" max="59" width="17.36328125" style="1" bestFit="1" customWidth="1"/>
    <col min="60" max="60" width="17.1796875" style="1" bestFit="1" customWidth="1"/>
    <col min="61" max="61" width="22.90625" style="1" bestFit="1" customWidth="1"/>
    <col min="62" max="62" width="21.08984375" style="1" bestFit="1" customWidth="1"/>
    <col min="63" max="63" width="18.54296875" style="1" bestFit="1" customWidth="1"/>
    <col min="64" max="64" width="14.90625" bestFit="1" customWidth="1"/>
    <col min="65" max="66" width="17.1796875" bestFit="1" customWidth="1"/>
    <col min="67" max="67" width="22.81640625" bestFit="1" customWidth="1"/>
    <col min="68" max="68" width="25.1796875" bestFit="1" customWidth="1"/>
    <col min="69" max="69" width="18.453125" bestFit="1" customWidth="1"/>
    <col min="70" max="70" width="15.90625" style="2" bestFit="1" customWidth="1"/>
    <col min="71" max="71" width="18.1796875" style="2" bestFit="1" customWidth="1"/>
    <col min="72" max="72" width="17.1796875" style="2" bestFit="1" customWidth="1"/>
    <col min="73" max="73" width="23.81640625" style="2" bestFit="1" customWidth="1"/>
    <col min="74" max="74" width="26.1796875" style="2" bestFit="1" customWidth="1"/>
    <col min="75" max="75" width="19.453125" style="2" bestFit="1" customWidth="1"/>
    <col min="76" max="77" width="14.1796875" bestFit="1" customWidth="1"/>
    <col min="78" max="78" width="13.08984375" bestFit="1" customWidth="1"/>
    <col min="79" max="79" width="18.81640625" bestFit="1" customWidth="1"/>
    <col min="80" max="80" width="21.08984375" bestFit="1" customWidth="1"/>
    <col min="81" max="81" width="14.36328125" bestFit="1" customWidth="1"/>
    <col min="82" max="82" width="21.90625" bestFit="1" customWidth="1"/>
    <col min="83" max="83" width="17.36328125" bestFit="1" customWidth="1"/>
    <col min="84" max="84" width="20.81640625" bestFit="1" customWidth="1"/>
    <col min="85" max="85" width="20.08984375" bestFit="1" customWidth="1"/>
    <col min="86" max="87" width="20.08984375" customWidth="1"/>
    <col min="88" max="88" width="10.36328125" bestFit="1" customWidth="1"/>
    <col min="89" max="89" width="10.81640625" bestFit="1" customWidth="1"/>
    <col min="90" max="90" width="23.453125" bestFit="1" customWidth="1"/>
    <col min="91" max="91" width="18.1796875" bestFit="1" customWidth="1"/>
    <col min="92" max="92" width="20.08984375" bestFit="1" customWidth="1"/>
    <col min="93" max="93" width="16.1796875" bestFit="1" customWidth="1"/>
    <col min="94" max="94" width="10.54296875" customWidth="1"/>
  </cols>
  <sheetData>
    <row r="2" spans="1:94" ht="15" customHeight="1" x14ac:dyDescent="0.35">
      <c r="A2" s="11"/>
      <c r="B2" s="11" t="s">
        <v>195</v>
      </c>
      <c r="C2" s="11" t="s">
        <v>196</v>
      </c>
      <c r="D2" s="9">
        <f t="shared" ref="D2:AI2" si="0">SUBTOTAL(9,D4:D1048576)</f>
        <v>509147.50000000006</v>
      </c>
      <c r="E2" s="9">
        <f t="shared" si="0"/>
        <v>600787</v>
      </c>
      <c r="F2" s="9">
        <f t="shared" si="0"/>
        <v>722230</v>
      </c>
      <c r="G2" s="9">
        <f t="shared" si="0"/>
        <v>30</v>
      </c>
      <c r="H2" s="9">
        <f t="shared" si="0"/>
        <v>30</v>
      </c>
      <c r="I2" s="9">
        <f t="shared" si="0"/>
        <v>155368</v>
      </c>
      <c r="J2" s="9">
        <f t="shared" si="0"/>
        <v>381407.78</v>
      </c>
      <c r="K2" s="9">
        <f t="shared" si="0"/>
        <v>450055</v>
      </c>
      <c r="L2" s="9">
        <f t="shared" si="0"/>
        <v>408885</v>
      </c>
      <c r="M2" s="9">
        <f t="shared" si="0"/>
        <v>30</v>
      </c>
      <c r="N2" s="9">
        <f t="shared" si="0"/>
        <v>30</v>
      </c>
      <c r="O2" s="9">
        <f t="shared" si="0"/>
        <v>21704</v>
      </c>
      <c r="P2" s="9">
        <f t="shared" si="0"/>
        <v>587070.24</v>
      </c>
      <c r="Q2" s="9">
        <f t="shared" si="0"/>
        <v>692738</v>
      </c>
      <c r="R2" s="9">
        <f t="shared" si="0"/>
        <v>474328</v>
      </c>
      <c r="S2" s="9">
        <f t="shared" si="0"/>
        <v>30</v>
      </c>
      <c r="T2" s="9">
        <f t="shared" si="0"/>
        <v>30</v>
      </c>
      <c r="U2" s="9">
        <f t="shared" si="0"/>
        <v>6432</v>
      </c>
      <c r="V2" s="9">
        <f t="shared" si="0"/>
        <v>480199.37</v>
      </c>
      <c r="W2" s="9">
        <f t="shared" si="0"/>
        <v>566630</v>
      </c>
      <c r="X2" s="9">
        <f t="shared" si="0"/>
        <v>1061822</v>
      </c>
      <c r="Y2" s="9">
        <f t="shared" si="0"/>
        <v>30</v>
      </c>
      <c r="Z2" s="9">
        <f t="shared" si="0"/>
        <v>30</v>
      </c>
      <c r="AA2" s="9">
        <f t="shared" si="0"/>
        <v>64375</v>
      </c>
      <c r="AB2" s="9">
        <f t="shared" si="0"/>
        <v>585312.89</v>
      </c>
      <c r="AC2" s="9">
        <f t="shared" si="0"/>
        <v>690665</v>
      </c>
      <c r="AD2" s="9">
        <f t="shared" si="0"/>
        <v>527991</v>
      </c>
      <c r="AE2" s="9">
        <f t="shared" si="0"/>
        <v>30</v>
      </c>
      <c r="AF2" s="9">
        <f t="shared" si="0"/>
        <v>30</v>
      </c>
      <c r="AG2" s="9">
        <f t="shared" si="0"/>
        <v>23578</v>
      </c>
      <c r="AH2" s="9">
        <f t="shared" si="0"/>
        <v>763896.58000000007</v>
      </c>
      <c r="AI2" s="9">
        <f t="shared" si="0"/>
        <v>901393.99999999988</v>
      </c>
      <c r="AJ2" s="9">
        <f t="shared" ref="AJ2:BO2" si="1">SUBTOTAL(9,AJ4:AJ1048576)</f>
        <v>781092</v>
      </c>
      <c r="AK2" s="9">
        <f t="shared" si="1"/>
        <v>30</v>
      </c>
      <c r="AL2" s="9">
        <f t="shared" si="1"/>
        <v>30</v>
      </c>
      <c r="AM2" s="9">
        <f t="shared" si="1"/>
        <v>22860</v>
      </c>
      <c r="AN2" s="9">
        <f t="shared" si="1"/>
        <v>337856.06999999995</v>
      </c>
      <c r="AO2" s="9">
        <f t="shared" si="1"/>
        <v>398666</v>
      </c>
      <c r="AP2" s="9">
        <f t="shared" si="1"/>
        <v>462454</v>
      </c>
      <c r="AQ2" s="9">
        <f t="shared" si="1"/>
        <v>30</v>
      </c>
      <c r="AR2" s="9">
        <f t="shared" si="1"/>
        <v>30</v>
      </c>
      <c r="AS2" s="9">
        <f t="shared" si="1"/>
        <v>55555</v>
      </c>
      <c r="AT2" s="9">
        <f t="shared" si="1"/>
        <v>908771.67</v>
      </c>
      <c r="AU2" s="9">
        <f t="shared" si="1"/>
        <v>1072348</v>
      </c>
      <c r="AV2" s="9">
        <f t="shared" si="1"/>
        <v>695170</v>
      </c>
      <c r="AW2" s="9">
        <f t="shared" si="1"/>
        <v>30</v>
      </c>
      <c r="AX2" s="9">
        <f t="shared" si="1"/>
        <v>30</v>
      </c>
      <c r="AY2" s="9">
        <f t="shared" si="1"/>
        <v>17663</v>
      </c>
      <c r="AZ2" s="9">
        <f t="shared" si="1"/>
        <v>658244.18000000005</v>
      </c>
      <c r="BA2" s="9">
        <f t="shared" si="1"/>
        <v>776724</v>
      </c>
      <c r="BB2" s="9">
        <f t="shared" si="1"/>
        <v>838058</v>
      </c>
      <c r="BC2" s="9">
        <f t="shared" si="1"/>
        <v>30</v>
      </c>
      <c r="BD2" s="9">
        <f t="shared" si="1"/>
        <v>30</v>
      </c>
      <c r="BE2" s="9">
        <f t="shared" si="1"/>
        <v>43204</v>
      </c>
      <c r="BF2" s="9">
        <f t="shared" si="1"/>
        <v>691787.76</v>
      </c>
      <c r="BG2" s="9">
        <f t="shared" si="1"/>
        <v>816305</v>
      </c>
      <c r="BH2" s="9">
        <f t="shared" si="1"/>
        <v>1095845</v>
      </c>
      <c r="BI2" s="9">
        <f t="shared" si="1"/>
        <v>30</v>
      </c>
      <c r="BJ2" s="9">
        <f t="shared" si="1"/>
        <v>30</v>
      </c>
      <c r="BK2" s="9">
        <f t="shared" si="1"/>
        <v>33203</v>
      </c>
      <c r="BL2" s="9">
        <f t="shared" si="1"/>
        <v>707671.41999999993</v>
      </c>
      <c r="BM2" s="9">
        <f t="shared" si="1"/>
        <v>835047.99999999988</v>
      </c>
      <c r="BN2" s="9">
        <f t="shared" si="1"/>
        <v>680796</v>
      </c>
      <c r="BO2" s="9">
        <f t="shared" si="1"/>
        <v>30</v>
      </c>
      <c r="BP2" s="9">
        <f t="shared" ref="BP2:CC2" si="2">SUBTOTAL(9,BP4:BP1048576)</f>
        <v>30</v>
      </c>
      <c r="BQ2" s="9">
        <f t="shared" si="2"/>
        <v>36907</v>
      </c>
      <c r="BR2" s="9">
        <f t="shared" si="2"/>
        <v>1473483</v>
      </c>
      <c r="BS2" s="9">
        <f t="shared" si="2"/>
        <v>1738705.9999999995</v>
      </c>
      <c r="BT2" s="9">
        <f t="shared" si="2"/>
        <v>1063841</v>
      </c>
      <c r="BU2" s="9">
        <f t="shared" si="2"/>
        <v>30</v>
      </c>
      <c r="BV2" s="9">
        <f t="shared" si="2"/>
        <v>30</v>
      </c>
      <c r="BW2" s="9">
        <f t="shared" si="2"/>
        <v>42716</v>
      </c>
      <c r="BX2" s="9">
        <f t="shared" si="2"/>
        <v>8084518.46</v>
      </c>
      <c r="BY2" s="9">
        <f t="shared" si="2"/>
        <v>9539736</v>
      </c>
      <c r="BZ2" s="9">
        <f t="shared" si="2"/>
        <v>8812182</v>
      </c>
      <c r="CA2" s="9">
        <f t="shared" si="2"/>
        <v>30</v>
      </c>
      <c r="CB2" s="9">
        <f t="shared" si="2"/>
        <v>30</v>
      </c>
      <c r="CC2" s="9">
        <f t="shared" si="2"/>
        <v>523235</v>
      </c>
      <c r="CD2" s="3"/>
      <c r="CE2" s="3"/>
    </row>
    <row r="3" spans="1:94" s="8" customFormat="1" ht="52" x14ac:dyDescent="0.35">
      <c r="A3" s="10" t="s">
        <v>0</v>
      </c>
      <c r="B3" s="10"/>
      <c r="C3" s="10"/>
      <c r="D3" s="12" t="s">
        <v>1</v>
      </c>
      <c r="E3" s="13" t="s">
        <v>2</v>
      </c>
      <c r="F3" s="14" t="s">
        <v>3</v>
      </c>
      <c r="G3" s="15" t="s">
        <v>4</v>
      </c>
      <c r="H3" s="16" t="s">
        <v>5</v>
      </c>
      <c r="I3" s="17" t="s">
        <v>6</v>
      </c>
      <c r="J3" s="12" t="s">
        <v>7</v>
      </c>
      <c r="K3" s="13" t="s">
        <v>8</v>
      </c>
      <c r="L3" s="14" t="s">
        <v>9</v>
      </c>
      <c r="M3" s="15" t="s">
        <v>10</v>
      </c>
      <c r="N3" s="16" t="s">
        <v>11</v>
      </c>
      <c r="O3" s="17" t="s">
        <v>12</v>
      </c>
      <c r="P3" s="12" t="s">
        <v>13</v>
      </c>
      <c r="Q3" s="13" t="s">
        <v>14</v>
      </c>
      <c r="R3" s="14" t="s">
        <v>15</v>
      </c>
      <c r="S3" s="15" t="s">
        <v>16</v>
      </c>
      <c r="T3" s="16" t="s">
        <v>17</v>
      </c>
      <c r="U3" s="17" t="s">
        <v>18</v>
      </c>
      <c r="V3" s="12" t="s">
        <v>19</v>
      </c>
      <c r="W3" s="13" t="s">
        <v>20</v>
      </c>
      <c r="X3" s="14" t="s">
        <v>21</v>
      </c>
      <c r="Y3" s="15" t="s">
        <v>22</v>
      </c>
      <c r="Z3" s="16" t="s">
        <v>23</v>
      </c>
      <c r="AA3" s="17" t="s">
        <v>24</v>
      </c>
      <c r="AB3" s="12" t="s">
        <v>25</v>
      </c>
      <c r="AC3" s="13" t="s">
        <v>26</v>
      </c>
      <c r="AD3" s="14" t="s">
        <v>27</v>
      </c>
      <c r="AE3" s="15" t="s">
        <v>28</v>
      </c>
      <c r="AF3" s="16" t="s">
        <v>29</v>
      </c>
      <c r="AG3" s="17" t="s">
        <v>30</v>
      </c>
      <c r="AH3" s="12" t="s">
        <v>31</v>
      </c>
      <c r="AI3" s="13" t="s">
        <v>32</v>
      </c>
      <c r="AJ3" s="14" t="s">
        <v>33</v>
      </c>
      <c r="AK3" s="15" t="s">
        <v>34</v>
      </c>
      <c r="AL3" s="16" t="s">
        <v>35</v>
      </c>
      <c r="AM3" s="17" t="s">
        <v>36</v>
      </c>
      <c r="AN3" s="12" t="s">
        <v>37</v>
      </c>
      <c r="AO3" s="13" t="s">
        <v>38</v>
      </c>
      <c r="AP3" s="14" t="s">
        <v>39</v>
      </c>
      <c r="AQ3" s="15" t="s">
        <v>40</v>
      </c>
      <c r="AR3" s="16" t="s">
        <v>41</v>
      </c>
      <c r="AS3" s="17" t="s">
        <v>42</v>
      </c>
      <c r="AT3" s="12" t="s">
        <v>43</v>
      </c>
      <c r="AU3" s="13" t="s">
        <v>44</v>
      </c>
      <c r="AV3" s="14" t="s">
        <v>45</v>
      </c>
      <c r="AW3" s="15" t="s">
        <v>46</v>
      </c>
      <c r="AX3" s="16" t="s">
        <v>47</v>
      </c>
      <c r="AY3" s="17" t="s">
        <v>48</v>
      </c>
      <c r="AZ3" s="12" t="s">
        <v>49</v>
      </c>
      <c r="BA3" s="13" t="s">
        <v>50</v>
      </c>
      <c r="BB3" s="14" t="s">
        <v>51</v>
      </c>
      <c r="BC3" s="15" t="s">
        <v>52</v>
      </c>
      <c r="BD3" s="16" t="s">
        <v>53</v>
      </c>
      <c r="BE3" s="17" t="s">
        <v>54</v>
      </c>
      <c r="BF3" s="12" t="s">
        <v>55</v>
      </c>
      <c r="BG3" s="13" t="s">
        <v>56</v>
      </c>
      <c r="BH3" s="14" t="s">
        <v>57</v>
      </c>
      <c r="BI3" s="15" t="s">
        <v>58</v>
      </c>
      <c r="BJ3" s="16" t="s">
        <v>59</v>
      </c>
      <c r="BK3" s="17" t="s">
        <v>60</v>
      </c>
      <c r="BL3" s="12" t="s">
        <v>61</v>
      </c>
      <c r="BM3" s="13" t="s">
        <v>62</v>
      </c>
      <c r="BN3" s="14" t="s">
        <v>63</v>
      </c>
      <c r="BO3" s="15" t="s">
        <v>64</v>
      </c>
      <c r="BP3" s="16" t="s">
        <v>65</v>
      </c>
      <c r="BQ3" s="17" t="s">
        <v>66</v>
      </c>
      <c r="BR3" s="12" t="s">
        <v>67</v>
      </c>
      <c r="BS3" s="13" t="s">
        <v>68</v>
      </c>
      <c r="BT3" s="14" t="s">
        <v>69</v>
      </c>
      <c r="BU3" s="15" t="s">
        <v>70</v>
      </c>
      <c r="BV3" s="16" t="s">
        <v>71</v>
      </c>
      <c r="BW3" s="17" t="s">
        <v>72</v>
      </c>
      <c r="BX3" s="12" t="s">
        <v>73</v>
      </c>
      <c r="BY3" s="13" t="s">
        <v>74</v>
      </c>
      <c r="BZ3" s="14" t="s">
        <v>75</v>
      </c>
      <c r="CA3" s="15" t="s">
        <v>76</v>
      </c>
      <c r="CB3" s="16" t="s">
        <v>77</v>
      </c>
      <c r="CC3" s="17" t="s">
        <v>78</v>
      </c>
      <c r="CD3" s="17" t="s">
        <v>79</v>
      </c>
      <c r="CE3" s="17" t="s">
        <v>80</v>
      </c>
      <c r="CF3" s="18" t="s">
        <v>94</v>
      </c>
      <c r="CG3" s="18" t="s">
        <v>95</v>
      </c>
      <c r="CH3" s="18" t="s">
        <v>201</v>
      </c>
      <c r="CI3" s="18" t="s">
        <v>202</v>
      </c>
      <c r="CJ3" s="18" t="s">
        <v>96</v>
      </c>
      <c r="CK3" s="18" t="s">
        <v>97</v>
      </c>
      <c r="CL3" s="18" t="s">
        <v>98</v>
      </c>
      <c r="CM3" s="18" t="s">
        <v>99</v>
      </c>
      <c r="CN3" s="18" t="s">
        <v>100</v>
      </c>
      <c r="CO3" s="18" t="s">
        <v>101</v>
      </c>
      <c r="CP3" s="18" t="s">
        <v>203</v>
      </c>
    </row>
    <row r="4" spans="1:94" x14ac:dyDescent="0.35">
      <c r="A4" s="5">
        <v>1020673</v>
      </c>
      <c r="B4" s="5"/>
      <c r="C4" s="5"/>
      <c r="D4" s="7">
        <v>58357.140000000007</v>
      </c>
      <c r="E4" s="4">
        <v>68861</v>
      </c>
      <c r="F4" s="4">
        <v>59482</v>
      </c>
      <c r="G4" s="4">
        <v>0</v>
      </c>
      <c r="H4" s="6">
        <v>0</v>
      </c>
      <c r="I4" s="6">
        <v>11964</v>
      </c>
      <c r="J4" s="4">
        <v>21691.14</v>
      </c>
      <c r="K4" s="4">
        <v>25595</v>
      </c>
      <c r="L4" s="4">
        <v>38339</v>
      </c>
      <c r="M4" s="4">
        <v>0</v>
      </c>
      <c r="N4" s="4">
        <v>0</v>
      </c>
      <c r="O4" s="4">
        <v>1000</v>
      </c>
      <c r="P4" s="4">
        <v>51733.979999999996</v>
      </c>
      <c r="Q4" s="4">
        <v>61046</v>
      </c>
      <c r="R4" s="4">
        <v>45272</v>
      </c>
      <c r="S4" s="4">
        <v>0</v>
      </c>
      <c r="T4" s="4">
        <v>0</v>
      </c>
      <c r="U4" s="4">
        <v>352</v>
      </c>
      <c r="V4" s="4">
        <v>53557.94999999999</v>
      </c>
      <c r="W4" s="4">
        <v>63198</v>
      </c>
      <c r="X4" s="6">
        <v>60725</v>
      </c>
      <c r="Y4" s="6">
        <v>0</v>
      </c>
      <c r="Z4" s="6">
        <v>0</v>
      </c>
      <c r="AA4" s="6">
        <v>3601</v>
      </c>
      <c r="AB4" s="4">
        <v>29835.26</v>
      </c>
      <c r="AC4" s="4">
        <v>35206</v>
      </c>
      <c r="AD4" s="4">
        <v>30365</v>
      </c>
      <c r="AE4" s="4">
        <v>0</v>
      </c>
      <c r="AF4" s="4">
        <v>0</v>
      </c>
      <c r="AG4" s="4">
        <v>1576</v>
      </c>
      <c r="AH4" s="4">
        <v>47932.549999999996</v>
      </c>
      <c r="AI4" s="4">
        <v>56560.999999999993</v>
      </c>
      <c r="AJ4" s="4">
        <v>73888</v>
      </c>
      <c r="AK4" s="4">
        <v>0</v>
      </c>
      <c r="AL4" s="6">
        <v>0</v>
      </c>
      <c r="AM4" s="6">
        <v>1145</v>
      </c>
      <c r="AN4" s="4">
        <v>46216.62</v>
      </c>
      <c r="AO4" s="4">
        <v>54535</v>
      </c>
      <c r="AP4" s="4">
        <v>15000</v>
      </c>
      <c r="AQ4" s="4">
        <v>0</v>
      </c>
      <c r="AR4" s="4">
        <v>0</v>
      </c>
      <c r="AS4" s="4">
        <v>1180</v>
      </c>
      <c r="AT4" s="4">
        <v>17917.78</v>
      </c>
      <c r="AU4" s="4">
        <v>21143</v>
      </c>
      <c r="AV4" s="6">
        <v>55910</v>
      </c>
      <c r="AW4" s="6">
        <v>0</v>
      </c>
      <c r="AX4" s="6">
        <v>0</v>
      </c>
      <c r="AY4" s="6">
        <v>1478</v>
      </c>
      <c r="AZ4" s="4">
        <v>75549.419999999969</v>
      </c>
      <c r="BA4" s="4">
        <v>89149.000000000015</v>
      </c>
      <c r="BB4" s="4">
        <v>89149</v>
      </c>
      <c r="BC4" s="4">
        <v>0</v>
      </c>
      <c r="BD4" s="6">
        <v>0</v>
      </c>
      <c r="BE4" s="6">
        <v>1629</v>
      </c>
      <c r="BF4" s="4">
        <v>24303.35</v>
      </c>
      <c r="BG4" s="4">
        <v>28678</v>
      </c>
      <c r="BH4" s="4">
        <v>28678</v>
      </c>
      <c r="BI4" s="4">
        <v>0</v>
      </c>
      <c r="BJ4" s="4">
        <v>0</v>
      </c>
      <c r="BK4" s="4">
        <v>1367</v>
      </c>
      <c r="BL4" s="6">
        <v>31440.609999999997</v>
      </c>
      <c r="BM4" s="6">
        <v>37100</v>
      </c>
      <c r="BN4" s="6">
        <v>34593</v>
      </c>
      <c r="BO4" s="6">
        <v>0</v>
      </c>
      <c r="BP4" s="6">
        <v>0</v>
      </c>
      <c r="BQ4" s="6">
        <v>964</v>
      </c>
      <c r="BR4" s="4">
        <v>37066.61</v>
      </c>
      <c r="BS4" s="4">
        <v>43738.999999999993</v>
      </c>
      <c r="BT4" s="4">
        <v>40880</v>
      </c>
      <c r="BU4" s="4">
        <v>0</v>
      </c>
      <c r="BV4" s="4">
        <v>0</v>
      </c>
      <c r="BW4" s="4">
        <v>1657</v>
      </c>
      <c r="BX4" s="4">
        <f t="shared" ref="BX4:BX5" si="3">D4+J4+P4+V4+AB4+AH4+AN4+AT4+AZ4+BF4+BL4+BR4</f>
        <v>495602.41</v>
      </c>
      <c r="BY4" s="4">
        <f t="shared" ref="BY4:BY5" si="4">E4+K4+Q4+W4+AC4+AI4+AO4+AU4+BA4+BG4+BM4+BS4</f>
        <v>584811</v>
      </c>
      <c r="BZ4" s="4">
        <f t="shared" ref="BZ4:BZ5" si="5">F4+L4+R4+X4+AD4+AJ4+AP4+AV4+BB4+BH4+BN4+BT4</f>
        <v>572281</v>
      </c>
      <c r="CA4" s="4">
        <f t="shared" ref="CA4:CA5" si="6">G4+M4+S4+Y4+AE4+AK4+AQ4+AW4+BC4+BI4+BO4+BU4</f>
        <v>0</v>
      </c>
      <c r="CB4" s="4">
        <f t="shared" ref="CB4:CB5" si="7">H4+N4+T4+Z4+AF4+AL4+AR4+AX4+BD4+BJ4+BP4+BV4</f>
        <v>0</v>
      </c>
      <c r="CC4" s="4">
        <f t="shared" ref="CC4:CC5" si="8">I4+O4+U4+AA4+AG4+AM4+AS4+AY4+BE4+BK4+BQ4+BW4</f>
        <v>27913</v>
      </c>
      <c r="CD4" s="3" t="s">
        <v>81</v>
      </c>
      <c r="CE4" s="3" t="s">
        <v>83</v>
      </c>
      <c r="CF4" s="3"/>
      <c r="CG4" s="3"/>
      <c r="CH4" s="3"/>
      <c r="CI4" s="3"/>
      <c r="CJ4" s="3"/>
      <c r="CK4" s="3"/>
      <c r="CL4" s="3"/>
      <c r="CM4" s="3"/>
      <c r="CN4" s="3"/>
      <c r="CO4" s="3"/>
      <c r="CP4" s="3">
        <v>2</v>
      </c>
    </row>
    <row r="5" spans="1:94" x14ac:dyDescent="0.35">
      <c r="A5" s="5">
        <v>1020689</v>
      </c>
      <c r="B5" s="5"/>
      <c r="C5" s="5"/>
      <c r="D5" s="7">
        <v>52060</v>
      </c>
      <c r="E5" s="4">
        <v>61431</v>
      </c>
      <c r="F5" s="4">
        <v>59133</v>
      </c>
      <c r="G5" s="4">
        <v>0</v>
      </c>
      <c r="H5" s="6">
        <v>0</v>
      </c>
      <c r="I5" s="6">
        <v>9152</v>
      </c>
      <c r="J5" s="4">
        <v>100985</v>
      </c>
      <c r="K5" s="4">
        <v>119162</v>
      </c>
      <c r="L5" s="4">
        <v>109010</v>
      </c>
      <c r="M5" s="4">
        <v>0</v>
      </c>
      <c r="N5" s="4">
        <v>0</v>
      </c>
      <c r="O5" s="4">
        <v>1000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4050</v>
      </c>
      <c r="V5" s="4">
        <v>102109.95999999998</v>
      </c>
      <c r="W5" s="4">
        <v>120490</v>
      </c>
      <c r="X5" s="6">
        <v>111440</v>
      </c>
      <c r="Y5" s="6">
        <v>0</v>
      </c>
      <c r="Z5" s="6">
        <v>0</v>
      </c>
      <c r="AA5" s="6">
        <v>8063</v>
      </c>
      <c r="AB5" s="4">
        <v>201081</v>
      </c>
      <c r="AC5" s="4">
        <v>237276.00000000003</v>
      </c>
      <c r="AD5" s="4">
        <v>230289</v>
      </c>
      <c r="AE5" s="4">
        <v>0</v>
      </c>
      <c r="AF5" s="4">
        <v>0</v>
      </c>
      <c r="AG5" s="4">
        <v>11967</v>
      </c>
      <c r="AH5" s="4">
        <v>0</v>
      </c>
      <c r="AI5" s="4">
        <v>0</v>
      </c>
      <c r="AJ5" s="4">
        <v>0</v>
      </c>
      <c r="AK5" s="4">
        <v>0</v>
      </c>
      <c r="AL5" s="6">
        <v>0</v>
      </c>
      <c r="AM5" s="6">
        <v>7000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131790.02000000002</v>
      </c>
      <c r="AU5" s="4">
        <v>155511.99999999997</v>
      </c>
      <c r="AV5" s="6">
        <v>140469</v>
      </c>
      <c r="AW5" s="6">
        <v>0</v>
      </c>
      <c r="AX5" s="6">
        <v>0</v>
      </c>
      <c r="AY5" s="6">
        <v>5272</v>
      </c>
      <c r="AZ5" s="4">
        <v>0</v>
      </c>
      <c r="BA5" s="4">
        <v>0</v>
      </c>
      <c r="BB5" s="4">
        <v>0</v>
      </c>
      <c r="BC5" s="4">
        <v>0</v>
      </c>
      <c r="BD5" s="6">
        <v>0</v>
      </c>
      <c r="BE5" s="6">
        <v>2750</v>
      </c>
      <c r="BF5" s="4">
        <v>201921.02000000002</v>
      </c>
      <c r="BG5" s="4">
        <v>238266.99999999994</v>
      </c>
      <c r="BH5" s="4">
        <v>230245</v>
      </c>
      <c r="BI5" s="4">
        <v>0</v>
      </c>
      <c r="BJ5" s="4">
        <v>0</v>
      </c>
      <c r="BK5" s="4">
        <v>8077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7500</v>
      </c>
      <c r="BR5" s="4">
        <v>102664.79999999999</v>
      </c>
      <c r="BS5" s="4">
        <v>121144</v>
      </c>
      <c r="BT5" s="4">
        <v>105568</v>
      </c>
      <c r="BU5" s="4">
        <v>0</v>
      </c>
      <c r="BV5" s="4">
        <v>0</v>
      </c>
      <c r="BW5" s="4">
        <v>4107</v>
      </c>
      <c r="BX5" s="4">
        <f t="shared" si="3"/>
        <v>892611.8</v>
      </c>
      <c r="BY5" s="4">
        <f t="shared" si="4"/>
        <v>1053282</v>
      </c>
      <c r="BZ5" s="4">
        <f t="shared" si="5"/>
        <v>986154</v>
      </c>
      <c r="CA5" s="4">
        <f t="shared" si="6"/>
        <v>0</v>
      </c>
      <c r="CB5" s="4">
        <f t="shared" si="7"/>
        <v>0</v>
      </c>
      <c r="CC5" s="4">
        <f t="shared" si="8"/>
        <v>68938</v>
      </c>
      <c r="CD5" s="3" t="s">
        <v>81</v>
      </c>
      <c r="CE5" s="3" t="s">
        <v>83</v>
      </c>
      <c r="CF5" s="3">
        <v>25</v>
      </c>
      <c r="CG5" s="3">
        <v>50</v>
      </c>
      <c r="CH5" s="3"/>
      <c r="CI5" s="3"/>
      <c r="CJ5" s="3" t="s">
        <v>102</v>
      </c>
      <c r="CK5" s="3" t="s">
        <v>103</v>
      </c>
      <c r="CL5" s="3">
        <v>5000</v>
      </c>
      <c r="CM5" s="3"/>
      <c r="CN5" s="3"/>
      <c r="CO5" s="3">
        <v>25000</v>
      </c>
      <c r="CP5" s="3">
        <v>3</v>
      </c>
    </row>
    <row r="6" spans="1:94" x14ac:dyDescent="0.35">
      <c r="A6" s="5">
        <v>1021769</v>
      </c>
      <c r="B6" s="5"/>
      <c r="C6" s="5"/>
      <c r="D6" s="7">
        <v>136383.28999999998</v>
      </c>
      <c r="E6" s="4">
        <v>160931.99999999997</v>
      </c>
      <c r="F6" s="4">
        <v>262300</v>
      </c>
      <c r="G6" s="4">
        <v>0</v>
      </c>
      <c r="H6" s="6">
        <v>0</v>
      </c>
      <c r="I6" s="6">
        <v>119876</v>
      </c>
      <c r="J6" s="4">
        <v>14074.25</v>
      </c>
      <c r="K6" s="4">
        <v>16608</v>
      </c>
      <c r="L6" s="4">
        <v>0</v>
      </c>
      <c r="M6" s="4">
        <v>0</v>
      </c>
      <c r="N6" s="4">
        <v>0</v>
      </c>
      <c r="O6" s="4">
        <v>18424</v>
      </c>
      <c r="P6" s="4">
        <v>157865.03999999998</v>
      </c>
      <c r="Q6" s="4">
        <v>186281</v>
      </c>
      <c r="R6" s="4">
        <v>0</v>
      </c>
      <c r="S6" s="4">
        <v>0</v>
      </c>
      <c r="T6" s="4">
        <v>0</v>
      </c>
      <c r="U6" s="4">
        <v>1000</v>
      </c>
      <c r="V6" s="4">
        <v>27334.760000000002</v>
      </c>
      <c r="W6" s="4">
        <v>32255</v>
      </c>
      <c r="X6" s="6">
        <v>587599</v>
      </c>
      <c r="Y6" s="6">
        <v>0</v>
      </c>
      <c r="Z6" s="6">
        <v>0</v>
      </c>
      <c r="AA6" s="6">
        <v>28584</v>
      </c>
      <c r="AB6" s="4">
        <v>67687.76999999999</v>
      </c>
      <c r="AC6" s="4">
        <v>79871</v>
      </c>
      <c r="AD6" s="4">
        <v>0</v>
      </c>
      <c r="AE6" s="4">
        <v>0</v>
      </c>
      <c r="AF6" s="4">
        <v>0</v>
      </c>
      <c r="AG6" s="4">
        <v>200</v>
      </c>
      <c r="AH6" s="4">
        <v>288253.27</v>
      </c>
      <c r="AI6" s="4">
        <v>340138.99999999988</v>
      </c>
      <c r="AJ6" s="4">
        <v>149218</v>
      </c>
      <c r="AK6" s="4">
        <v>0</v>
      </c>
      <c r="AL6" s="6">
        <v>0</v>
      </c>
      <c r="AM6" s="6">
        <v>2636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41599</v>
      </c>
      <c r="AT6" s="4">
        <v>92604.679999999978</v>
      </c>
      <c r="AU6" s="4">
        <v>109274</v>
      </c>
      <c r="AV6" s="6">
        <v>207000</v>
      </c>
      <c r="AW6" s="6">
        <v>0</v>
      </c>
      <c r="AX6" s="6">
        <v>0</v>
      </c>
      <c r="AY6" s="6">
        <v>0</v>
      </c>
      <c r="AZ6" s="4">
        <v>76431.5</v>
      </c>
      <c r="BA6" s="4">
        <v>90189.000000000015</v>
      </c>
      <c r="BB6" s="4">
        <v>50000</v>
      </c>
      <c r="BC6" s="4">
        <v>0</v>
      </c>
      <c r="BD6" s="6">
        <v>0</v>
      </c>
      <c r="BE6" s="6">
        <v>9776</v>
      </c>
      <c r="BF6" s="4">
        <v>0</v>
      </c>
      <c r="BG6" s="4">
        <v>0</v>
      </c>
      <c r="BH6" s="4">
        <v>180000</v>
      </c>
      <c r="BI6" s="4">
        <v>0</v>
      </c>
      <c r="BJ6" s="4">
        <v>0</v>
      </c>
      <c r="BK6" s="4">
        <v>1240</v>
      </c>
      <c r="BL6" s="6">
        <v>99783.65</v>
      </c>
      <c r="BM6" s="6">
        <v>117744.99999999997</v>
      </c>
      <c r="BN6" s="6">
        <v>146000</v>
      </c>
      <c r="BO6" s="6">
        <v>0</v>
      </c>
      <c r="BP6" s="6">
        <v>0</v>
      </c>
      <c r="BQ6" s="6">
        <v>0</v>
      </c>
      <c r="BR6" s="4">
        <v>497555.5</v>
      </c>
      <c r="BS6" s="4">
        <v>587116.99999999965</v>
      </c>
      <c r="BT6" s="4">
        <v>104000</v>
      </c>
      <c r="BU6" s="4">
        <v>0</v>
      </c>
      <c r="BV6" s="4">
        <v>0</v>
      </c>
      <c r="BW6" s="4">
        <v>5965</v>
      </c>
      <c r="BX6" s="4">
        <f t="shared" ref="BX6:BX7" si="9">D6+J6+P6+V6+AB6+AH6+AN6+AT6+AZ6+BF6+BL6+BR6</f>
        <v>1457973.71</v>
      </c>
      <c r="BY6" s="4">
        <f t="shared" ref="BY6:BY7" si="10">E6+K6+Q6+W6+AC6+AI6+AO6+AU6+BA6+BG6+BM6+BS6</f>
        <v>1720410.9999999995</v>
      </c>
      <c r="BZ6" s="4">
        <f t="shared" ref="BZ6:BZ7" si="11">F6+L6+R6+X6+AD6+AJ6+AP6+AV6+BB6+BH6+BN6+BT6</f>
        <v>1686117</v>
      </c>
      <c r="CA6" s="4">
        <f t="shared" ref="CA6:CA7" si="12">G6+M6+S6+Y6+AE6+AK6+AQ6+AW6+BC6+BI6+BO6+BU6</f>
        <v>0</v>
      </c>
      <c r="CB6" s="4">
        <f t="shared" ref="CB6:CB7" si="13">H6+N6+T6+Z6+AF6+AL6+AR6+AX6+BD6+BJ6+BP6+BV6</f>
        <v>0</v>
      </c>
      <c r="CC6" s="4">
        <f t="shared" ref="CC6:CC7" si="14">I6+O6+U6+AA6+AG6+AM6+AS6+AY6+BE6+BK6+BQ6+BW6</f>
        <v>229300</v>
      </c>
      <c r="CD6" s="3" t="s">
        <v>93</v>
      </c>
      <c r="CE6" s="3" t="s">
        <v>86</v>
      </c>
      <c r="CF6" s="3">
        <v>50</v>
      </c>
      <c r="CG6" s="3">
        <v>25</v>
      </c>
      <c r="CH6" s="3"/>
      <c r="CI6" s="3"/>
      <c r="CJ6" s="3" t="s">
        <v>104</v>
      </c>
      <c r="CK6" s="3" t="s">
        <v>103</v>
      </c>
      <c r="CL6" s="3"/>
      <c r="CM6" s="3"/>
      <c r="CN6" s="3"/>
      <c r="CO6" s="3">
        <v>20000</v>
      </c>
      <c r="CP6" s="3"/>
    </row>
    <row r="7" spans="1:94" x14ac:dyDescent="0.35">
      <c r="A7" s="5">
        <v>1021770</v>
      </c>
      <c r="B7" s="5"/>
      <c r="C7" s="5"/>
      <c r="D7" s="7">
        <v>21770.68</v>
      </c>
      <c r="E7" s="4">
        <v>25689</v>
      </c>
      <c r="F7" s="4">
        <v>12341</v>
      </c>
      <c r="G7" s="4">
        <v>0</v>
      </c>
      <c r="H7" s="6">
        <v>0</v>
      </c>
      <c r="I7" s="6">
        <v>0</v>
      </c>
      <c r="J7" s="4">
        <v>14748.849999999999</v>
      </c>
      <c r="K7" s="4">
        <v>17404</v>
      </c>
      <c r="L7" s="4">
        <v>7758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25689</v>
      </c>
      <c r="S7" s="4">
        <v>0</v>
      </c>
      <c r="T7" s="4">
        <v>0</v>
      </c>
      <c r="U7" s="4">
        <v>0</v>
      </c>
      <c r="V7" s="4">
        <v>17514.32</v>
      </c>
      <c r="W7" s="4">
        <v>20667</v>
      </c>
      <c r="X7" s="6">
        <v>0</v>
      </c>
      <c r="Y7" s="6">
        <v>0</v>
      </c>
      <c r="Z7" s="6">
        <v>0</v>
      </c>
      <c r="AA7" s="6">
        <v>327</v>
      </c>
      <c r="AB7" s="4">
        <v>16199</v>
      </c>
      <c r="AC7" s="4">
        <v>19115</v>
      </c>
      <c r="AD7" s="4">
        <v>17077</v>
      </c>
      <c r="AE7" s="4">
        <v>0</v>
      </c>
      <c r="AF7" s="4">
        <v>0</v>
      </c>
      <c r="AG7" s="4">
        <v>0</v>
      </c>
      <c r="AH7" s="4">
        <v>12018.3</v>
      </c>
      <c r="AI7" s="4">
        <v>14182</v>
      </c>
      <c r="AJ7" s="4">
        <v>20667</v>
      </c>
      <c r="AK7" s="4">
        <v>0</v>
      </c>
      <c r="AL7" s="6">
        <v>0</v>
      </c>
      <c r="AM7" s="6">
        <v>0</v>
      </c>
      <c r="AN7" s="4">
        <v>12206.48</v>
      </c>
      <c r="AO7" s="4">
        <v>14404</v>
      </c>
      <c r="AP7" s="4">
        <v>19115</v>
      </c>
      <c r="AQ7" s="4">
        <v>0</v>
      </c>
      <c r="AR7" s="4">
        <v>0</v>
      </c>
      <c r="AS7" s="4">
        <v>0</v>
      </c>
      <c r="AT7" s="4">
        <v>6243.8899999999994</v>
      </c>
      <c r="AU7" s="4">
        <v>7368</v>
      </c>
      <c r="AV7" s="6">
        <v>0</v>
      </c>
      <c r="AW7" s="6">
        <v>0</v>
      </c>
      <c r="AX7" s="6">
        <v>0</v>
      </c>
      <c r="AY7" s="6">
        <v>0</v>
      </c>
      <c r="AZ7" s="4">
        <v>9420.64</v>
      </c>
      <c r="BA7" s="4">
        <v>11116</v>
      </c>
      <c r="BB7" s="4">
        <v>28586</v>
      </c>
      <c r="BC7" s="4">
        <v>0</v>
      </c>
      <c r="BD7" s="6">
        <v>0</v>
      </c>
      <c r="BE7" s="6">
        <v>0</v>
      </c>
      <c r="BF7" s="4">
        <v>13489.82</v>
      </c>
      <c r="BG7" s="4">
        <v>15917.999999999998</v>
      </c>
      <c r="BH7" s="4">
        <v>0</v>
      </c>
      <c r="BI7" s="4">
        <v>0</v>
      </c>
      <c r="BJ7" s="4">
        <v>0</v>
      </c>
      <c r="BK7" s="4">
        <v>0</v>
      </c>
      <c r="BL7" s="6">
        <v>18776.289999999997</v>
      </c>
      <c r="BM7" s="6">
        <v>22156</v>
      </c>
      <c r="BN7" s="6">
        <v>7368</v>
      </c>
      <c r="BO7" s="6">
        <v>0</v>
      </c>
      <c r="BP7" s="6">
        <v>0</v>
      </c>
      <c r="BQ7" s="6">
        <v>0</v>
      </c>
      <c r="BR7" s="4">
        <v>16860.54</v>
      </c>
      <c r="BS7" s="4">
        <v>19895</v>
      </c>
      <c r="BT7" s="4">
        <v>27034</v>
      </c>
      <c r="BU7" s="4">
        <v>0</v>
      </c>
      <c r="BV7" s="4">
        <v>0</v>
      </c>
      <c r="BW7" s="4">
        <v>0</v>
      </c>
      <c r="BX7" s="4">
        <f t="shared" si="9"/>
        <v>159248.81000000003</v>
      </c>
      <c r="BY7" s="4">
        <f t="shared" si="10"/>
        <v>187914</v>
      </c>
      <c r="BZ7" s="4">
        <f t="shared" si="11"/>
        <v>165635</v>
      </c>
      <c r="CA7" s="4">
        <f t="shared" si="12"/>
        <v>0</v>
      </c>
      <c r="CB7" s="4">
        <f t="shared" si="13"/>
        <v>0</v>
      </c>
      <c r="CC7" s="4">
        <f t="shared" si="14"/>
        <v>327</v>
      </c>
      <c r="CD7" s="3" t="s">
        <v>85</v>
      </c>
      <c r="CE7" s="3" t="s">
        <v>89</v>
      </c>
      <c r="CF7" s="3">
        <v>100</v>
      </c>
      <c r="CG7" s="3" t="s">
        <v>105</v>
      </c>
      <c r="CH7" s="3"/>
      <c r="CI7" s="3"/>
      <c r="CJ7" s="3" t="s">
        <v>104</v>
      </c>
      <c r="CK7" s="3" t="s">
        <v>106</v>
      </c>
      <c r="CL7" s="3"/>
      <c r="CM7" s="3">
        <v>100000</v>
      </c>
      <c r="CN7" s="3"/>
      <c r="CO7" s="3"/>
      <c r="CP7" s="3">
        <v>4</v>
      </c>
    </row>
    <row r="8" spans="1:94" x14ac:dyDescent="0.35">
      <c r="A8" s="5">
        <v>1022067</v>
      </c>
      <c r="B8" s="5"/>
      <c r="C8" s="5"/>
      <c r="D8" s="7">
        <v>65447.840000000004</v>
      </c>
      <c r="E8" s="4">
        <v>77228</v>
      </c>
      <c r="F8" s="4">
        <v>77228</v>
      </c>
      <c r="G8" s="4">
        <v>0</v>
      </c>
      <c r="H8" s="6">
        <v>0</v>
      </c>
      <c r="I8" s="6">
        <v>0</v>
      </c>
      <c r="J8" s="4">
        <v>75879.22</v>
      </c>
      <c r="K8" s="4">
        <v>89538</v>
      </c>
      <c r="L8" s="4">
        <v>41682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47856</v>
      </c>
      <c r="S8" s="4">
        <v>0</v>
      </c>
      <c r="T8" s="4">
        <v>0</v>
      </c>
      <c r="U8" s="4">
        <v>0</v>
      </c>
      <c r="V8" s="4">
        <v>60685.14</v>
      </c>
      <c r="W8" s="4">
        <v>71609</v>
      </c>
      <c r="X8" s="6">
        <v>64931</v>
      </c>
      <c r="Y8" s="6">
        <v>0</v>
      </c>
      <c r="Z8" s="6">
        <v>0</v>
      </c>
      <c r="AA8" s="6">
        <v>2380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2355</v>
      </c>
      <c r="AH8" s="4">
        <v>102616.30000000002</v>
      </c>
      <c r="AI8" s="4">
        <v>121087</v>
      </c>
      <c r="AJ8" s="4">
        <v>28244</v>
      </c>
      <c r="AK8" s="4">
        <v>0</v>
      </c>
      <c r="AL8" s="6">
        <v>0</v>
      </c>
      <c r="AM8" s="6">
        <v>778</v>
      </c>
      <c r="AN8" s="4">
        <v>0</v>
      </c>
      <c r="AO8" s="4">
        <v>0</v>
      </c>
      <c r="AP8" s="4">
        <v>88360</v>
      </c>
      <c r="AQ8" s="4">
        <v>0</v>
      </c>
      <c r="AR8" s="4">
        <v>0</v>
      </c>
      <c r="AS8" s="4">
        <v>2884</v>
      </c>
      <c r="AT8" s="4">
        <v>0</v>
      </c>
      <c r="AU8" s="4">
        <v>0</v>
      </c>
      <c r="AV8" s="6">
        <v>0</v>
      </c>
      <c r="AW8" s="6">
        <v>0</v>
      </c>
      <c r="AX8" s="6">
        <v>0</v>
      </c>
      <c r="AY8" s="6">
        <v>0</v>
      </c>
      <c r="AZ8" s="4">
        <v>100526.92</v>
      </c>
      <c r="BA8" s="4">
        <v>118622</v>
      </c>
      <c r="BB8" s="4">
        <v>117088</v>
      </c>
      <c r="BC8" s="4">
        <v>0</v>
      </c>
      <c r="BD8" s="6">
        <v>0</v>
      </c>
      <c r="BE8" s="6">
        <v>3016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6100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f t="shared" ref="BX8:BX9" si="15">D8+J8+P8+V8+AB8+AH8+AN8+AT8+AZ8+BF8+BL8+BR8</f>
        <v>405155.42</v>
      </c>
      <c r="BY8" s="4">
        <f t="shared" ref="BY8:BY9" si="16">E8+K8+Q8+W8+AC8+AI8+AO8+AU8+BA8+BG8+BM8+BS8</f>
        <v>478084</v>
      </c>
      <c r="BZ8" s="4">
        <f t="shared" ref="BZ8:BZ9" si="17">F8+L8+R8+X8+AD8+AJ8+AP8+AV8+BB8+BH8+BN8+BT8</f>
        <v>465389</v>
      </c>
      <c r="CA8" s="4">
        <f t="shared" ref="CA8:CA9" si="18">G8+M8+S8+Y8+AE8+AK8+AQ8+AW8+BC8+BI8+BO8+BU8</f>
        <v>0</v>
      </c>
      <c r="CB8" s="4">
        <f t="shared" ref="CB8:CB9" si="19">H8+N8+T8+Z8+AF8+AL8+AR8+AX8+BD8+BJ8+BP8+BV8</f>
        <v>0</v>
      </c>
      <c r="CC8" s="4">
        <f t="shared" ref="CC8:CC9" si="20">I8+O8+U8+AA8+AG8+AM8+AS8+AY8+BE8+BK8+BQ8+BW8</f>
        <v>17513</v>
      </c>
      <c r="CD8" s="3" t="s">
        <v>81</v>
      </c>
      <c r="CE8" s="3" t="s">
        <v>83</v>
      </c>
      <c r="CF8" s="3" t="s">
        <v>105</v>
      </c>
      <c r="CG8" s="3">
        <v>50</v>
      </c>
      <c r="CH8" s="3"/>
      <c r="CI8" s="3"/>
      <c r="CJ8" s="3" t="s">
        <v>102</v>
      </c>
      <c r="CK8" s="3" t="s">
        <v>103</v>
      </c>
      <c r="CL8" s="3">
        <v>25000</v>
      </c>
      <c r="CM8" s="3"/>
      <c r="CN8" s="3"/>
      <c r="CO8" s="3"/>
      <c r="CP8" s="3"/>
    </row>
    <row r="9" spans="1:94" x14ac:dyDescent="0.35">
      <c r="A9" s="5">
        <v>1022088</v>
      </c>
      <c r="B9" s="5"/>
      <c r="C9" s="5"/>
      <c r="D9" s="7">
        <v>104670.65000000001</v>
      </c>
      <c r="E9" s="4">
        <v>123511.00000000001</v>
      </c>
      <c r="F9" s="4">
        <v>89384</v>
      </c>
      <c r="G9" s="4">
        <v>0</v>
      </c>
      <c r="H9" s="6">
        <v>0</v>
      </c>
      <c r="I9" s="6">
        <v>0</v>
      </c>
      <c r="J9" s="4">
        <v>55294.32</v>
      </c>
      <c r="K9" s="4">
        <v>65247</v>
      </c>
      <c r="L9" s="4">
        <v>108495</v>
      </c>
      <c r="M9" s="4">
        <v>0</v>
      </c>
      <c r="N9" s="4">
        <v>0</v>
      </c>
      <c r="O9" s="4">
        <v>0</v>
      </c>
      <c r="P9" s="4">
        <v>31553.839999999997</v>
      </c>
      <c r="Q9" s="4">
        <v>37233.000000000007</v>
      </c>
      <c r="R9" s="4">
        <v>84179</v>
      </c>
      <c r="S9" s="4">
        <v>0</v>
      </c>
      <c r="T9" s="4">
        <v>0</v>
      </c>
      <c r="U9" s="4">
        <v>0</v>
      </c>
      <c r="V9" s="4">
        <v>75219.620000000024</v>
      </c>
      <c r="W9" s="4">
        <v>88759.000000000015</v>
      </c>
      <c r="X9" s="6">
        <v>61055</v>
      </c>
      <c r="Y9" s="6">
        <v>0</v>
      </c>
      <c r="Z9" s="6">
        <v>0</v>
      </c>
      <c r="AA9" s="6">
        <v>642</v>
      </c>
      <c r="AB9" s="4">
        <v>35507.820000000007</v>
      </c>
      <c r="AC9" s="4">
        <v>41899</v>
      </c>
      <c r="AD9" s="4">
        <v>64547</v>
      </c>
      <c r="AE9" s="4">
        <v>0</v>
      </c>
      <c r="AF9" s="4">
        <v>0</v>
      </c>
      <c r="AG9" s="4">
        <v>700</v>
      </c>
      <c r="AH9" s="4">
        <v>103675.54000000001</v>
      </c>
      <c r="AI9" s="4">
        <v>122336.99999999997</v>
      </c>
      <c r="AJ9" s="4">
        <v>162823</v>
      </c>
      <c r="AK9" s="4">
        <v>0</v>
      </c>
      <c r="AL9" s="6">
        <v>0</v>
      </c>
      <c r="AM9" s="6">
        <v>1099</v>
      </c>
      <c r="AN9" s="4">
        <v>62878</v>
      </c>
      <c r="AO9" s="4">
        <v>74196</v>
      </c>
      <c r="AP9" s="4">
        <v>126277</v>
      </c>
      <c r="AQ9" s="4">
        <v>0</v>
      </c>
      <c r="AR9" s="4">
        <v>0</v>
      </c>
      <c r="AS9" s="4">
        <v>3952</v>
      </c>
      <c r="AT9" s="4">
        <v>208744.26</v>
      </c>
      <c r="AU9" s="4">
        <v>246319</v>
      </c>
      <c r="AV9" s="6">
        <v>67773</v>
      </c>
      <c r="AW9" s="6">
        <v>0</v>
      </c>
      <c r="AX9" s="6">
        <v>0</v>
      </c>
      <c r="AY9" s="6">
        <v>3758</v>
      </c>
      <c r="AZ9" s="4">
        <v>218554.54</v>
      </c>
      <c r="BA9" s="4">
        <v>257895.00000000003</v>
      </c>
      <c r="BB9" s="4">
        <v>356825</v>
      </c>
      <c r="BC9" s="4">
        <v>0</v>
      </c>
      <c r="BD9" s="6">
        <v>0</v>
      </c>
      <c r="BE9" s="6">
        <v>11945</v>
      </c>
      <c r="BF9" s="4">
        <v>311891.17999999993</v>
      </c>
      <c r="BG9" s="4">
        <v>368032</v>
      </c>
      <c r="BH9" s="4">
        <v>281886</v>
      </c>
      <c r="BI9" s="4">
        <v>0</v>
      </c>
      <c r="BJ9" s="4">
        <v>0</v>
      </c>
      <c r="BK9" s="4">
        <v>16151</v>
      </c>
      <c r="BL9" s="6">
        <v>337719.56</v>
      </c>
      <c r="BM9" s="6">
        <v>398510.99999999988</v>
      </c>
      <c r="BN9" s="6">
        <v>91819</v>
      </c>
      <c r="BO9" s="6">
        <v>0</v>
      </c>
      <c r="BP9" s="6">
        <v>0</v>
      </c>
      <c r="BQ9" s="6">
        <v>14668</v>
      </c>
      <c r="BR9" s="4">
        <v>479398.82000000012</v>
      </c>
      <c r="BS9" s="4">
        <v>565690.99999999988</v>
      </c>
      <c r="BT9" s="4">
        <v>590212</v>
      </c>
      <c r="BU9" s="4">
        <v>0</v>
      </c>
      <c r="BV9" s="4">
        <v>0</v>
      </c>
      <c r="BW9" s="4">
        <v>24117</v>
      </c>
      <c r="BX9" s="4">
        <f t="shared" si="15"/>
        <v>2025108.1500000001</v>
      </c>
      <c r="BY9" s="4">
        <f t="shared" si="16"/>
        <v>2389630</v>
      </c>
      <c r="BZ9" s="4">
        <f t="shared" si="17"/>
        <v>2085275</v>
      </c>
      <c r="CA9" s="4">
        <f t="shared" si="18"/>
        <v>0</v>
      </c>
      <c r="CB9" s="4">
        <f t="shared" si="19"/>
        <v>0</v>
      </c>
      <c r="CC9" s="4">
        <f t="shared" si="20"/>
        <v>77032</v>
      </c>
      <c r="CD9" s="3" t="s">
        <v>88</v>
      </c>
      <c r="CE9" s="3" t="s">
        <v>92</v>
      </c>
      <c r="CF9" s="3">
        <v>100</v>
      </c>
      <c r="CG9" s="3">
        <v>20</v>
      </c>
      <c r="CH9" s="3"/>
      <c r="CI9" s="3"/>
      <c r="CJ9" s="3" t="s">
        <v>102</v>
      </c>
      <c r="CK9" s="3" t="s">
        <v>103</v>
      </c>
      <c r="CL9" s="3"/>
      <c r="CM9" s="3"/>
      <c r="CN9" s="3">
        <v>50000</v>
      </c>
      <c r="CO9" s="3"/>
      <c r="CP9" s="3">
        <v>6</v>
      </c>
    </row>
    <row r="10" spans="1:94" x14ac:dyDescent="0.35">
      <c r="A10" s="5">
        <v>1022203</v>
      </c>
      <c r="B10" s="5"/>
      <c r="C10" s="5"/>
      <c r="D10" s="7">
        <v>70427.900000000009</v>
      </c>
      <c r="E10" s="4">
        <v>83105.000000000015</v>
      </c>
      <c r="F10" s="4">
        <v>162332</v>
      </c>
      <c r="G10" s="4">
        <v>0</v>
      </c>
      <c r="H10" s="6">
        <v>0</v>
      </c>
      <c r="I10" s="6">
        <v>14346</v>
      </c>
      <c r="J10" s="4">
        <v>98704.999999999985</v>
      </c>
      <c r="K10" s="4">
        <v>116471</v>
      </c>
      <c r="L10" s="4">
        <v>103571</v>
      </c>
      <c r="M10" s="4">
        <v>0</v>
      </c>
      <c r="N10" s="4">
        <v>0</v>
      </c>
      <c r="O10" s="4">
        <v>1250</v>
      </c>
      <c r="P10" s="4">
        <v>151838.88</v>
      </c>
      <c r="Q10" s="4">
        <v>179170</v>
      </c>
      <c r="R10" s="4">
        <v>263722</v>
      </c>
      <c r="S10" s="4">
        <v>0</v>
      </c>
      <c r="T10" s="4">
        <v>0</v>
      </c>
      <c r="U10" s="4">
        <v>1000</v>
      </c>
      <c r="V10" s="4">
        <v>143747.62</v>
      </c>
      <c r="W10" s="4">
        <v>169622</v>
      </c>
      <c r="X10" s="6">
        <v>176042</v>
      </c>
      <c r="Y10" s="6">
        <v>0</v>
      </c>
      <c r="Z10" s="6">
        <v>0</v>
      </c>
      <c r="AA10" s="6">
        <v>9248</v>
      </c>
      <c r="AB10" s="4">
        <v>234972.04</v>
      </c>
      <c r="AC10" s="4">
        <v>277268</v>
      </c>
      <c r="AD10" s="4">
        <v>185683</v>
      </c>
      <c r="AE10" s="4">
        <v>0</v>
      </c>
      <c r="AF10" s="4">
        <v>0</v>
      </c>
      <c r="AG10" s="4">
        <v>6750</v>
      </c>
      <c r="AH10" s="4">
        <v>209370.62</v>
      </c>
      <c r="AI10" s="4">
        <v>247058</v>
      </c>
      <c r="AJ10" s="4">
        <v>128744</v>
      </c>
      <c r="AK10" s="4">
        <v>0</v>
      </c>
      <c r="AL10" s="6">
        <v>0</v>
      </c>
      <c r="AM10" s="6">
        <v>10172</v>
      </c>
      <c r="AN10" s="4">
        <v>216524.96999999997</v>
      </c>
      <c r="AO10" s="4">
        <v>255501.00000000003</v>
      </c>
      <c r="AP10" s="4">
        <v>213672</v>
      </c>
      <c r="AQ10" s="4">
        <v>0</v>
      </c>
      <c r="AR10" s="4">
        <v>0</v>
      </c>
      <c r="AS10" s="4">
        <v>5910</v>
      </c>
      <c r="AT10" s="4">
        <v>249630.59999999998</v>
      </c>
      <c r="AU10" s="4">
        <v>294565</v>
      </c>
      <c r="AV10" s="6">
        <v>222988</v>
      </c>
      <c r="AW10" s="6">
        <v>0</v>
      </c>
      <c r="AX10" s="6">
        <v>0</v>
      </c>
      <c r="AY10" s="6">
        <v>7125</v>
      </c>
      <c r="AZ10" s="4">
        <v>177731.16</v>
      </c>
      <c r="BA10" s="4">
        <v>209722.99999999997</v>
      </c>
      <c r="BB10" s="4">
        <v>196380</v>
      </c>
      <c r="BC10" s="4">
        <v>0</v>
      </c>
      <c r="BD10" s="6">
        <v>0</v>
      </c>
      <c r="BE10" s="6">
        <v>8058</v>
      </c>
      <c r="BF10" s="4">
        <v>140152.38999999998</v>
      </c>
      <c r="BG10" s="4">
        <v>165380.00000000003</v>
      </c>
      <c r="BH10" s="4">
        <v>325006</v>
      </c>
      <c r="BI10" s="4">
        <v>0</v>
      </c>
      <c r="BJ10" s="4">
        <v>0</v>
      </c>
      <c r="BK10" s="4">
        <v>238</v>
      </c>
      <c r="BL10" s="6">
        <v>216274.11000000002</v>
      </c>
      <c r="BM10" s="6">
        <v>255202.00000000003</v>
      </c>
      <c r="BN10" s="6">
        <v>296547</v>
      </c>
      <c r="BO10" s="6">
        <v>0</v>
      </c>
      <c r="BP10" s="6">
        <v>0</v>
      </c>
      <c r="BQ10" s="6">
        <v>2959</v>
      </c>
      <c r="BR10" s="4">
        <v>339906.73</v>
      </c>
      <c r="BS10" s="4">
        <v>401090</v>
      </c>
      <c r="BT10" s="4">
        <v>125620</v>
      </c>
      <c r="BU10" s="4">
        <v>0</v>
      </c>
      <c r="BV10" s="4">
        <v>0</v>
      </c>
      <c r="BW10" s="4">
        <v>6840</v>
      </c>
      <c r="BX10" s="4">
        <f t="shared" ref="BX10" si="21">D10+J10+P10+V10+AB10+AH10+AN10+AT10+AZ10+BF10+BL10+BR10</f>
        <v>2249282.0199999996</v>
      </c>
      <c r="BY10" s="4">
        <f t="shared" ref="BY10" si="22">E10+K10+Q10+W10+AC10+AI10+AO10+AU10+BA10+BG10+BM10+BS10</f>
        <v>2654155</v>
      </c>
      <c r="BZ10" s="4">
        <f t="shared" ref="BZ10" si="23">F10+L10+R10+X10+AD10+AJ10+AP10+AV10+BB10+BH10+BN10+BT10</f>
        <v>2400307</v>
      </c>
      <c r="CA10" s="4">
        <f t="shared" ref="CA10" si="24">G10+M10+S10+Y10+AE10+AK10+AQ10+AW10+BC10+BI10+BO10+BU10</f>
        <v>0</v>
      </c>
      <c r="CB10" s="4">
        <f t="shared" ref="CB10" si="25">H10+N10+T10+Z10+AF10+AL10+AR10+AX10+BD10+BJ10+BP10+BV10</f>
        <v>0</v>
      </c>
      <c r="CC10" s="4">
        <f t="shared" ref="CC10" si="26">I10+O10+U10+AA10+AG10+AM10+AS10+AY10+BE10+BK10+BQ10+BW10</f>
        <v>73896</v>
      </c>
      <c r="CD10" s="3" t="s">
        <v>87</v>
      </c>
      <c r="CE10" s="3" t="s">
        <v>91</v>
      </c>
      <c r="CF10" s="3">
        <v>100</v>
      </c>
      <c r="CG10" s="3" t="s">
        <v>105</v>
      </c>
      <c r="CH10" s="3"/>
      <c r="CI10" s="3"/>
      <c r="CJ10" s="3" t="s">
        <v>104</v>
      </c>
      <c r="CK10" s="3" t="s">
        <v>106</v>
      </c>
      <c r="CL10" s="3"/>
      <c r="CM10" s="3">
        <v>100000</v>
      </c>
      <c r="CN10" s="3"/>
      <c r="CO10" s="3"/>
      <c r="CP10" s="3"/>
    </row>
    <row r="11" spans="1:94" x14ac:dyDescent="0.35">
      <c r="A11" s="5">
        <v>1022344</v>
      </c>
      <c r="B11" s="5"/>
      <c r="C11" s="5"/>
      <c r="D11" s="7">
        <v>0</v>
      </c>
      <c r="E11" s="4">
        <v>0</v>
      </c>
      <c r="F11" s="4">
        <v>0</v>
      </c>
      <c r="G11" s="4">
        <v>0</v>
      </c>
      <c r="H11" s="6">
        <v>0</v>
      </c>
      <c r="I11" s="6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194048.5</v>
      </c>
      <c r="Q11" s="4">
        <v>228978</v>
      </c>
      <c r="R11" s="4">
        <v>7580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6">
        <v>0</v>
      </c>
      <c r="Y11" s="6">
        <v>0</v>
      </c>
      <c r="Z11" s="6">
        <v>0</v>
      </c>
      <c r="AA11" s="6">
        <v>11500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217478</v>
      </c>
      <c r="AK11" s="4">
        <v>0</v>
      </c>
      <c r="AL11" s="6">
        <v>0</v>
      </c>
      <c r="AM11" s="6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201810.44000000003</v>
      </c>
      <c r="AU11" s="4">
        <v>238137</v>
      </c>
      <c r="AV11" s="6">
        <v>1000</v>
      </c>
      <c r="AW11" s="6">
        <v>0</v>
      </c>
      <c r="AX11" s="6">
        <v>0</v>
      </c>
      <c r="AY11" s="6">
        <v>0</v>
      </c>
      <c r="AZ11" s="4">
        <v>0</v>
      </c>
      <c r="BA11" s="4">
        <v>0</v>
      </c>
      <c r="BB11" s="4">
        <v>0</v>
      </c>
      <c r="BC11" s="4">
        <v>0</v>
      </c>
      <c r="BD11" s="6">
        <v>0</v>
      </c>
      <c r="BE11" s="6">
        <v>6000</v>
      </c>
      <c r="BF11" s="4">
        <v>0</v>
      </c>
      <c r="BG11" s="4">
        <v>0</v>
      </c>
      <c r="BH11" s="4">
        <v>50000</v>
      </c>
      <c r="BI11" s="4">
        <v>0</v>
      </c>
      <c r="BJ11" s="4">
        <v>0</v>
      </c>
      <c r="BK11" s="4">
        <v>0</v>
      </c>
      <c r="BL11" s="6">
        <v>0</v>
      </c>
      <c r="BM11" s="6">
        <v>0</v>
      </c>
      <c r="BN11" s="6">
        <v>100000</v>
      </c>
      <c r="BO11" s="6">
        <v>0</v>
      </c>
      <c r="BP11" s="6">
        <v>0</v>
      </c>
      <c r="BQ11" s="6">
        <v>10640</v>
      </c>
      <c r="BR11" s="4">
        <v>0</v>
      </c>
      <c r="BS11" s="4">
        <v>0</v>
      </c>
      <c r="BT11" s="4">
        <v>70497</v>
      </c>
      <c r="BU11" s="4">
        <v>0</v>
      </c>
      <c r="BV11" s="4">
        <v>0</v>
      </c>
      <c r="BW11" s="4">
        <v>0</v>
      </c>
      <c r="BX11" s="4">
        <f t="shared" ref="BX11:BX13" si="27">D11+J11+P11+V11+AB11+AH11+AN11+AT11+AZ11+BF11+BL11+BR11</f>
        <v>395858.94000000006</v>
      </c>
      <c r="BY11" s="4">
        <f t="shared" ref="BY11:BY13" si="28">E11+K11+Q11+W11+AC11+AI11+AO11+AU11+BA11+BG11+BM11+BS11</f>
        <v>467115</v>
      </c>
      <c r="BZ11" s="4">
        <f t="shared" ref="BZ11:BZ13" si="29">F11+L11+R11+X11+AD11+AJ11+AP11+AV11+BB11+BH11+BN11+BT11</f>
        <v>446555</v>
      </c>
      <c r="CA11" s="4">
        <f t="shared" ref="CA11:CA13" si="30">G11+M11+S11+Y11+AE11+AK11+AQ11+AW11+BC11+BI11+BO11+BU11</f>
        <v>0</v>
      </c>
      <c r="CB11" s="4">
        <f t="shared" ref="CB11:CB13" si="31">H11+N11+T11+Z11+AF11+AL11+AR11+AX11+BD11+BJ11+BP11+BV11</f>
        <v>0</v>
      </c>
      <c r="CC11" s="4">
        <f t="shared" ref="CC11:CC13" si="32">I11+O11+U11+AA11+AG11+AM11+AS11+AY11+BE11+BK11+BQ11+BW11</f>
        <v>28140</v>
      </c>
      <c r="CD11" s="3" t="s">
        <v>90</v>
      </c>
      <c r="CE11" s="3" t="s">
        <v>84</v>
      </c>
      <c r="CF11" s="3">
        <v>50</v>
      </c>
      <c r="CG11" s="3">
        <v>25</v>
      </c>
      <c r="CH11" s="3"/>
      <c r="CI11" s="3"/>
      <c r="CJ11" s="3" t="s">
        <v>104</v>
      </c>
      <c r="CK11" s="3" t="s">
        <v>103</v>
      </c>
      <c r="CL11" s="3"/>
      <c r="CM11" s="3"/>
      <c r="CN11" s="3"/>
      <c r="CO11" s="3">
        <v>20000</v>
      </c>
      <c r="CP11" s="3">
        <v>7</v>
      </c>
    </row>
    <row r="12" spans="1:94" x14ac:dyDescent="0.35">
      <c r="A12" s="5">
        <v>1022345</v>
      </c>
      <c r="B12" s="5"/>
      <c r="C12" s="5"/>
      <c r="D12" s="7">
        <v>0</v>
      </c>
      <c r="E12" s="4">
        <v>0</v>
      </c>
      <c r="F12" s="4">
        <v>0</v>
      </c>
      <c r="G12" s="4">
        <v>0</v>
      </c>
      <c r="H12" s="6">
        <v>0</v>
      </c>
      <c r="I12" s="6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6">
        <v>0</v>
      </c>
      <c r="Y12" s="6">
        <v>0</v>
      </c>
      <c r="Z12" s="6">
        <v>0</v>
      </c>
      <c r="AA12" s="6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6">
        <v>0</v>
      </c>
      <c r="AM12" s="6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6">
        <v>0</v>
      </c>
      <c r="AW12" s="6">
        <v>0</v>
      </c>
      <c r="AX12" s="6">
        <v>0</v>
      </c>
      <c r="AY12" s="6">
        <v>0</v>
      </c>
      <c r="AZ12" s="4">
        <v>0</v>
      </c>
      <c r="BA12" s="4">
        <v>0</v>
      </c>
      <c r="BB12" s="4">
        <v>0</v>
      </c>
      <c r="BC12" s="4">
        <v>0</v>
      </c>
      <c r="BD12" s="6">
        <v>0</v>
      </c>
      <c r="BE12" s="6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6">
        <v>3647.2</v>
      </c>
      <c r="BM12" s="6">
        <v>4304</v>
      </c>
      <c r="BN12" s="6">
        <v>4439</v>
      </c>
      <c r="BO12" s="6">
        <v>0</v>
      </c>
      <c r="BP12" s="6">
        <v>0</v>
      </c>
      <c r="BQ12" s="6">
        <v>146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f t="shared" si="27"/>
        <v>3647.2</v>
      </c>
      <c r="BY12" s="4">
        <f t="shared" si="28"/>
        <v>4304</v>
      </c>
      <c r="BZ12" s="4">
        <f t="shared" si="29"/>
        <v>4439</v>
      </c>
      <c r="CA12" s="4">
        <f t="shared" si="30"/>
        <v>0</v>
      </c>
      <c r="CB12" s="4">
        <f t="shared" si="31"/>
        <v>0</v>
      </c>
      <c r="CC12" s="4">
        <f t="shared" si="32"/>
        <v>146</v>
      </c>
      <c r="CD12" s="3" t="s">
        <v>81</v>
      </c>
      <c r="CE12" s="3" t="s">
        <v>83</v>
      </c>
      <c r="CF12" s="3">
        <v>100</v>
      </c>
      <c r="CG12" s="3" t="s">
        <v>105</v>
      </c>
      <c r="CH12" s="3"/>
      <c r="CI12" s="3"/>
      <c r="CJ12" s="3" t="s">
        <v>104</v>
      </c>
      <c r="CK12" s="3" t="s">
        <v>106</v>
      </c>
      <c r="CL12" s="3"/>
      <c r="CM12" s="3">
        <v>100000</v>
      </c>
      <c r="CN12" s="3"/>
      <c r="CO12" s="3"/>
      <c r="CP12" s="3"/>
    </row>
    <row r="13" spans="1:94" x14ac:dyDescent="0.35">
      <c r="A13" s="5">
        <v>1022346</v>
      </c>
      <c r="B13" s="5"/>
      <c r="C13" s="5"/>
      <c r="D13" s="7">
        <v>0</v>
      </c>
      <c r="E13" s="4">
        <v>0</v>
      </c>
      <c r="F13" s="4">
        <v>0</v>
      </c>
      <c r="G13" s="4">
        <v>0</v>
      </c>
      <c r="H13" s="6">
        <v>0</v>
      </c>
      <c r="I13" s="6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6">
        <v>0</v>
      </c>
      <c r="Y13" s="6">
        <v>0</v>
      </c>
      <c r="Z13" s="6">
        <v>0</v>
      </c>
      <c r="AA13" s="6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6">
        <v>0</v>
      </c>
      <c r="AM13" s="6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6">
        <v>0</v>
      </c>
      <c r="AW13" s="6">
        <v>0</v>
      </c>
      <c r="AX13" s="6">
        <v>0</v>
      </c>
      <c r="AY13" s="6">
        <v>0</v>
      </c>
      <c r="AZ13" s="4">
        <v>0</v>
      </c>
      <c r="BA13" s="4">
        <v>0</v>
      </c>
      <c r="BB13" s="4">
        <v>0</v>
      </c>
      <c r="BC13" s="4">
        <v>0</v>
      </c>
      <c r="BD13" s="6">
        <v>0</v>
      </c>
      <c r="BE13" s="6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f t="shared" si="27"/>
        <v>0</v>
      </c>
      <c r="BY13" s="4">
        <f t="shared" si="28"/>
        <v>0</v>
      </c>
      <c r="BZ13" s="4">
        <f t="shared" si="29"/>
        <v>0</v>
      </c>
      <c r="CA13" s="4">
        <f t="shared" si="30"/>
        <v>0</v>
      </c>
      <c r="CB13" s="4">
        <f t="shared" si="31"/>
        <v>0</v>
      </c>
      <c r="CC13" s="4">
        <f t="shared" si="32"/>
        <v>0</v>
      </c>
      <c r="CD13" s="3" t="s">
        <v>81</v>
      </c>
      <c r="CE13" s="3" t="s">
        <v>82</v>
      </c>
      <c r="CF13" s="3" t="s">
        <v>105</v>
      </c>
      <c r="CG13" s="3">
        <v>50</v>
      </c>
      <c r="CH13" s="3"/>
      <c r="CI13" s="3"/>
      <c r="CJ13" s="3" t="s">
        <v>102</v>
      </c>
      <c r="CK13" s="3" t="s">
        <v>103</v>
      </c>
      <c r="CL13" s="3">
        <v>25000</v>
      </c>
      <c r="CM13" s="3"/>
      <c r="CN13" s="3"/>
      <c r="CO13" s="3"/>
      <c r="CP13" s="3">
        <v>9</v>
      </c>
    </row>
    <row r="15" spans="1:94" x14ac:dyDescent="0.35">
      <c r="A15" t="s">
        <v>107</v>
      </c>
      <c r="B15" t="s">
        <v>197</v>
      </c>
      <c r="C15" t="s">
        <v>198</v>
      </c>
      <c r="D15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  <c r="J15" s="1" t="s">
        <v>115</v>
      </c>
      <c r="K15" s="1" t="s">
        <v>116</v>
      </c>
      <c r="L15" s="1" t="s">
        <v>117</v>
      </c>
      <c r="M15" s="1" t="s">
        <v>118</v>
      </c>
      <c r="N15" s="1" t="s">
        <v>116</v>
      </c>
      <c r="O15" s="1" t="s">
        <v>119</v>
      </c>
      <c r="P15" s="1" t="s">
        <v>120</v>
      </c>
      <c r="Q15" s="1" t="s">
        <v>121</v>
      </c>
      <c r="R15" s="1" t="s">
        <v>122</v>
      </c>
      <c r="S15" s="1" t="s">
        <v>123</v>
      </c>
      <c r="T15" s="1" t="s">
        <v>124</v>
      </c>
      <c r="U15" s="1" t="s">
        <v>125</v>
      </c>
      <c r="V15" s="1" t="s">
        <v>126</v>
      </c>
      <c r="W15" s="1" t="s">
        <v>127</v>
      </c>
      <c r="X15" s="1" t="s">
        <v>128</v>
      </c>
      <c r="Y15" s="1" t="s">
        <v>129</v>
      </c>
      <c r="Z15" s="1" t="s">
        <v>130</v>
      </c>
      <c r="AA15" s="1" t="s">
        <v>131</v>
      </c>
      <c r="AB15" s="1" t="s">
        <v>132</v>
      </c>
      <c r="AC15" s="1" t="s">
        <v>133</v>
      </c>
      <c r="AD15" s="1" t="s">
        <v>134</v>
      </c>
      <c r="AE15" s="1" t="s">
        <v>135</v>
      </c>
      <c r="AF15" s="1" t="s">
        <v>136</v>
      </c>
      <c r="AG15" s="1" t="s">
        <v>137</v>
      </c>
      <c r="AH15" s="1" t="s">
        <v>138</v>
      </c>
      <c r="AI15" s="1" t="s">
        <v>139</v>
      </c>
      <c r="AJ15" s="1" t="s">
        <v>140</v>
      </c>
      <c r="AK15" s="1" t="s">
        <v>141</v>
      </c>
      <c r="AL15" s="1" t="s">
        <v>142</v>
      </c>
      <c r="AM15" s="1" t="s">
        <v>143</v>
      </c>
      <c r="AN15" s="1" t="s">
        <v>144</v>
      </c>
      <c r="AO15" s="1" t="s">
        <v>145</v>
      </c>
      <c r="AP15" s="1" t="s">
        <v>146</v>
      </c>
      <c r="AQ15" s="1" t="s">
        <v>147</v>
      </c>
      <c r="AR15" s="1" t="s">
        <v>148</v>
      </c>
      <c r="AS15" s="1" t="s">
        <v>149</v>
      </c>
      <c r="AT15" s="1" t="s">
        <v>150</v>
      </c>
      <c r="AU15" s="1" t="s">
        <v>151</v>
      </c>
      <c r="AV15" s="1" t="s">
        <v>152</v>
      </c>
      <c r="AW15" s="1" t="s">
        <v>154</v>
      </c>
      <c r="AX15" s="1" t="s">
        <v>155</v>
      </c>
      <c r="AY15" s="1" t="s">
        <v>156</v>
      </c>
      <c r="AZ15" s="1" t="s">
        <v>157</v>
      </c>
      <c r="BA15" s="1" t="s">
        <v>158</v>
      </c>
      <c r="BB15" s="1" t="s">
        <v>159</v>
      </c>
      <c r="BC15" s="1" t="s">
        <v>160</v>
      </c>
      <c r="BD15" s="1" t="s">
        <v>161</v>
      </c>
      <c r="BE15" s="1" t="s">
        <v>162</v>
      </c>
      <c r="BF15" s="1" t="s">
        <v>163</v>
      </c>
      <c r="BG15" s="1" t="s">
        <v>164</v>
      </c>
      <c r="BH15" s="1" t="s">
        <v>165</v>
      </c>
      <c r="BI15" s="1" t="s">
        <v>166</v>
      </c>
      <c r="BJ15" s="1" t="s">
        <v>167</v>
      </c>
      <c r="BK15" s="1" t="s">
        <v>168</v>
      </c>
      <c r="BL15" s="1" t="s">
        <v>169</v>
      </c>
      <c r="BM15" s="1" t="s">
        <v>170</v>
      </c>
      <c r="BN15" s="1" t="s">
        <v>171</v>
      </c>
      <c r="BO15" s="1" t="s">
        <v>172</v>
      </c>
      <c r="BP15" s="1" t="s">
        <v>173</v>
      </c>
      <c r="BQ15" s="1" t="s">
        <v>174</v>
      </c>
      <c r="BR15" s="2" t="s">
        <v>175</v>
      </c>
      <c r="BS15" s="2" t="s">
        <v>176</v>
      </c>
      <c r="BT15" s="2" t="s">
        <v>177</v>
      </c>
      <c r="BU15" s="2" t="s">
        <v>178</v>
      </c>
      <c r="BV15" s="2" t="s">
        <v>179</v>
      </c>
      <c r="BW15" s="2" t="s">
        <v>180</v>
      </c>
      <c r="BX15" s="2" t="s">
        <v>181</v>
      </c>
      <c r="BY15" s="2" t="s">
        <v>182</v>
      </c>
      <c r="BZ15" s="2" t="s">
        <v>108</v>
      </c>
      <c r="CA15" s="2" t="s">
        <v>153</v>
      </c>
      <c r="CB15" s="2" t="s">
        <v>183</v>
      </c>
      <c r="CC15" s="2" t="s">
        <v>184</v>
      </c>
      <c r="CD15" s="2" t="s">
        <v>186</v>
      </c>
      <c r="CE15" s="2" t="s">
        <v>185</v>
      </c>
      <c r="CF15" s="2" t="s">
        <v>188</v>
      </c>
      <c r="CG15" s="2" t="s">
        <v>187</v>
      </c>
      <c r="CH15" s="2" t="s">
        <v>199</v>
      </c>
      <c r="CI15" s="2" t="s">
        <v>200</v>
      </c>
      <c r="CJ15" s="2" t="s">
        <v>189</v>
      </c>
      <c r="CK15" s="2" t="s">
        <v>190</v>
      </c>
      <c r="CL15" s="2" t="s">
        <v>191</v>
      </c>
      <c r="CM15" s="2" t="s">
        <v>192</v>
      </c>
      <c r="CN15" s="2" t="s">
        <v>193</v>
      </c>
      <c r="CO15" s="2" t="s">
        <v>194</v>
      </c>
      <c r="CP15" s="2" t="s">
        <v>204</v>
      </c>
    </row>
    <row r="16" spans="1:94" x14ac:dyDescent="0.35">
      <c r="A16" s="19">
        <v>10</v>
      </c>
      <c r="B16" s="19">
        <v>4</v>
      </c>
      <c r="C16" s="19">
        <v>4</v>
      </c>
      <c r="D16" s="20">
        <v>30</v>
      </c>
      <c r="E16" s="1">
        <v>30</v>
      </c>
      <c r="F16" s="1">
        <v>30</v>
      </c>
      <c r="G16" s="1">
        <v>30</v>
      </c>
      <c r="H16" s="21">
        <v>30</v>
      </c>
      <c r="I16" s="21">
        <v>30</v>
      </c>
      <c r="J16" s="1">
        <v>30</v>
      </c>
      <c r="K16" s="1">
        <v>30</v>
      </c>
      <c r="L16" s="22">
        <v>30</v>
      </c>
      <c r="M16" s="22">
        <v>30</v>
      </c>
      <c r="N16" s="22">
        <v>30</v>
      </c>
      <c r="O16" s="22">
        <v>30</v>
      </c>
      <c r="P16" s="1">
        <v>30</v>
      </c>
      <c r="Q16" s="1">
        <v>30</v>
      </c>
      <c r="R16" s="1">
        <v>30</v>
      </c>
      <c r="S16" s="1">
        <v>30</v>
      </c>
      <c r="T16" s="1">
        <v>30</v>
      </c>
      <c r="U16" s="1">
        <v>30</v>
      </c>
      <c r="V16" s="22">
        <v>30</v>
      </c>
      <c r="W16" s="22">
        <v>30</v>
      </c>
      <c r="X16" s="21">
        <v>30</v>
      </c>
      <c r="Y16" s="21">
        <v>30</v>
      </c>
      <c r="Z16" s="21">
        <v>30</v>
      </c>
      <c r="AA16" s="21">
        <v>30</v>
      </c>
      <c r="AB16" s="1">
        <v>30</v>
      </c>
      <c r="AC16" s="1">
        <v>30</v>
      </c>
      <c r="AD16" s="1">
        <v>30</v>
      </c>
      <c r="AE16" s="1">
        <v>30</v>
      </c>
      <c r="AF16" s="1">
        <v>30</v>
      </c>
      <c r="AG16" s="1">
        <v>30</v>
      </c>
      <c r="AH16" s="1">
        <v>30</v>
      </c>
      <c r="AI16" s="22">
        <v>30</v>
      </c>
      <c r="AJ16" s="22">
        <v>30</v>
      </c>
      <c r="AK16" s="22">
        <v>30</v>
      </c>
      <c r="AL16" s="21">
        <v>30</v>
      </c>
      <c r="AM16" s="21">
        <v>30</v>
      </c>
      <c r="AN16" s="1">
        <v>30</v>
      </c>
      <c r="AO16" s="1">
        <v>30</v>
      </c>
      <c r="AP16" s="1">
        <v>30</v>
      </c>
      <c r="AQ16" s="1">
        <v>30</v>
      </c>
      <c r="AR16" s="1">
        <v>30</v>
      </c>
      <c r="AS16" s="1">
        <v>30</v>
      </c>
      <c r="AT16" s="1">
        <v>30</v>
      </c>
      <c r="AU16" s="1">
        <v>30</v>
      </c>
      <c r="AV16" s="1">
        <v>30</v>
      </c>
      <c r="AW16" s="1">
        <v>30</v>
      </c>
      <c r="AX16" s="1">
        <v>30</v>
      </c>
      <c r="AY16" s="1">
        <v>30</v>
      </c>
      <c r="AZ16" s="1">
        <v>30</v>
      </c>
      <c r="BA16" s="1">
        <v>30</v>
      </c>
      <c r="BB16" s="1">
        <v>30</v>
      </c>
      <c r="BC16" s="1">
        <v>30</v>
      </c>
      <c r="BD16" s="1">
        <v>30</v>
      </c>
      <c r="BE16" s="1">
        <v>30</v>
      </c>
      <c r="BF16" s="1">
        <v>30</v>
      </c>
      <c r="BG16" s="1">
        <v>30</v>
      </c>
      <c r="BH16" s="1">
        <v>30</v>
      </c>
      <c r="BI16" s="1">
        <v>30</v>
      </c>
      <c r="BJ16" s="1">
        <v>30</v>
      </c>
      <c r="BK16" s="1">
        <v>30</v>
      </c>
      <c r="BL16" s="1">
        <v>30</v>
      </c>
      <c r="BM16" s="1">
        <v>30</v>
      </c>
      <c r="BN16" s="1">
        <v>30</v>
      </c>
      <c r="BO16" s="1">
        <v>30</v>
      </c>
      <c r="BP16" s="1">
        <v>30</v>
      </c>
      <c r="BQ16" s="1">
        <v>30</v>
      </c>
      <c r="BR16" s="1">
        <v>30</v>
      </c>
      <c r="BS16" s="1">
        <v>30</v>
      </c>
      <c r="BT16" s="1">
        <v>30</v>
      </c>
      <c r="BU16" s="1">
        <v>30</v>
      </c>
      <c r="BV16" s="1">
        <v>30</v>
      </c>
      <c r="BW16" s="1">
        <v>30</v>
      </c>
      <c r="BX16" s="1">
        <v>30</v>
      </c>
      <c r="BY16" s="1">
        <v>30</v>
      </c>
      <c r="BZ16" s="1">
        <v>30</v>
      </c>
      <c r="CA16" s="1">
        <v>30</v>
      </c>
      <c r="CB16" s="1">
        <v>30</v>
      </c>
      <c r="CC16" s="1">
        <v>30</v>
      </c>
      <c r="CD16" s="1">
        <v>4</v>
      </c>
      <c r="CE16" s="1">
        <v>4</v>
      </c>
      <c r="CF16" s="1">
        <v>3</v>
      </c>
      <c r="CG16" s="1">
        <v>3</v>
      </c>
      <c r="CH16" s="1">
        <v>30</v>
      </c>
      <c r="CI16" s="1">
        <v>30</v>
      </c>
      <c r="CJ16" s="1">
        <v>3</v>
      </c>
      <c r="CK16" s="1">
        <v>3</v>
      </c>
      <c r="CL16" s="1">
        <v>30</v>
      </c>
      <c r="CM16" s="1">
        <v>30</v>
      </c>
      <c r="CN16" s="1">
        <v>30</v>
      </c>
      <c r="CO16" s="1">
        <v>30</v>
      </c>
      <c r="CP16" s="1">
        <v>30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- 25-26  dealer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Sakhiya</dc:creator>
  <cp:lastModifiedBy>Singh, Satyendra</cp:lastModifiedBy>
  <dcterms:created xsi:type="dcterms:W3CDTF">2026-08-14T06:06:44Z</dcterms:created>
  <dcterms:modified xsi:type="dcterms:W3CDTF">2026-09-16T07:01:54Z</dcterms:modified>
</cp:coreProperties>
</file>
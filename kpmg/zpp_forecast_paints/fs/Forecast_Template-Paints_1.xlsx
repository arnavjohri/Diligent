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kpmgindia365-my.sharepoint.com/personal/dipeshpanwala_kpmg_com/Documents/Astral/WRICEF/Additional WRICEF/"/>
    </mc:Choice>
  </mc:AlternateContent>
  <xr:revisionPtr revIDLastSave="0" documentId="8_{76D104C9-2D0B-4725-BD21-309DF85ED4D3}" xr6:coauthVersionLast="47" xr6:coauthVersionMax="47" xr10:uidLastSave="{00000000-0000-0000-0000-000000000000}"/>
  <bookViews>
    <workbookView xWindow="-110" yWindow="-110" windowWidth="19420" windowHeight="11500" firstSheet="1" activeTab="1" xr2:uid="{52FE601D-3E13-483F-85E9-AB540D77E986}"/>
  </bookViews>
  <sheets>
    <sheet name="Sheet1" sheetId="1" r:id="rId1"/>
    <sheet name="RADIO BUTTON 1 ANNUAL" sheetId="2" r:id="rId2"/>
    <sheet name="Radio Button 2 Quauter" sheetId="3" r:id="rId3"/>
    <sheet name="Month" sheetId="4" r:id="rId4"/>
    <sheet name="Consolidated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9" i="2" l="1"/>
  <c r="W80" i="2"/>
  <c r="Z80" i="2" s="1"/>
  <c r="AA80" i="2" s="1"/>
  <c r="W29" i="2"/>
  <c r="W28" i="2"/>
  <c r="W27" i="2"/>
  <c r="K12" i="2"/>
  <c r="Z27" i="2" l="1"/>
  <c r="AA27" i="2" s="1"/>
  <c r="Z28" i="2"/>
  <c r="AA28" i="2" s="1"/>
  <c r="Z79" i="2"/>
  <c r="AA79" i="2" s="1"/>
  <c r="Z29" i="2"/>
  <c r="AA29" i="2" s="1"/>
</calcChain>
</file>

<file path=xl/sharedStrings.xml><?xml version="1.0" encoding="utf-8"?>
<sst xmlns="http://schemas.openxmlformats.org/spreadsheetml/2006/main" count="1196" uniqueCount="322">
  <si>
    <t>ZFORECAST Report</t>
  </si>
  <si>
    <t>Annual Forecating</t>
  </si>
  <si>
    <t>Selection Screen</t>
  </si>
  <si>
    <t>Plant</t>
  </si>
  <si>
    <t>Mandatory</t>
  </si>
  <si>
    <t xml:space="preserve">From </t>
  </si>
  <si>
    <t>To</t>
  </si>
  <si>
    <t>Material</t>
  </si>
  <si>
    <t>Financial Year</t>
  </si>
  <si>
    <t>Check Box</t>
  </si>
  <si>
    <t xml:space="preserve">Tonnage Wise </t>
  </si>
  <si>
    <t>A</t>
  </si>
  <si>
    <t xml:space="preserve">system will consider the last year direct sales to the customer </t>
  </si>
  <si>
    <t>B</t>
  </si>
  <si>
    <t>Product wise product category and Its percertage will be maintained by User.</t>
  </si>
  <si>
    <t>C</t>
  </si>
  <si>
    <t>Total Forecast Qty=Last year Sales Qty of that month * Product category %</t>
  </si>
  <si>
    <t>D</t>
  </si>
  <si>
    <t>Provision to Skip the few material from Forecast</t>
  </si>
  <si>
    <t>E</t>
  </si>
  <si>
    <t>Forecast number generation</t>
  </si>
  <si>
    <t>F</t>
  </si>
  <si>
    <t>Table Maintainace for MTS and MTO</t>
  </si>
  <si>
    <t>G</t>
  </si>
  <si>
    <t>Plant maintance if new material is replace old code</t>
  </si>
  <si>
    <t>H</t>
  </si>
  <si>
    <t>In annual forecast, final qty will be Last year april 25 sales Qty*Growth factor</t>
  </si>
  <si>
    <t>Annual Forecast</t>
  </si>
  <si>
    <t>MFG. 
PLANT CODE</t>
  </si>
  <si>
    <t>MFG. 
PLANT NAME</t>
  </si>
  <si>
    <t>BRAND</t>
  </si>
  <si>
    <t>MAT. CODE</t>
  </si>
  <si>
    <t>MAT. DESC</t>
  </si>
  <si>
    <t>MTS / MTO 
/ DIS ART / TINTING</t>
  </si>
  <si>
    <t>MATERIAL GROUP 1</t>
  </si>
  <si>
    <t>MATERIAL GROUP 2</t>
  </si>
  <si>
    <t>MATERIAL GROUP 5</t>
  </si>
  <si>
    <t>MATERIAL GROUP</t>
  </si>
  <si>
    <t>PACK 
SIZE</t>
  </si>
  <si>
    <t>DPL</t>
  </si>
  <si>
    <t>QTY / CARTON</t>
  </si>
  <si>
    <t>Q1_
26-27_
APR 26_
FORECAST 
QTY (EA)</t>
  </si>
  <si>
    <t>Q1_
26-27_
MAY 26_
FORECAST 
QTY (EA)</t>
  </si>
  <si>
    <t>Q1_
26-27_
JUN 26_
FORECAST 
QTY (EA)</t>
  </si>
  <si>
    <t>Q2_
26-27_
JUL 26_
FORECAST 
QTY (EA)</t>
  </si>
  <si>
    <t>Q2_
26-27_
AUG 26_
FORECAST 
QTY (EA)</t>
  </si>
  <si>
    <t>Q2_
26-27_
SEP 26_
FORECAST 
QTY (EA)</t>
  </si>
  <si>
    <t>Q3_
26-27_
OCT 26_
FORECAST 
QTY (EA)</t>
  </si>
  <si>
    <t>Q3_
26-27_
NOV 26_
FORECAST 
QTY (EA)</t>
  </si>
  <si>
    <t>Q3_
26-27_
DEC 26_
FORECAST 
QTY (EA)</t>
  </si>
  <si>
    <t>Q4_
26-27_
JAN 27_
FORECAST 
QTY (EA)</t>
  </si>
  <si>
    <t>Q4_
26-27_
FEB 26_
FORECAST 
QTY (EA)</t>
  </si>
  <si>
    <t>Q4_
26-27_
MAR 26_
FORECAST 
QTY (EA)</t>
  </si>
  <si>
    <t>Q1_
26-27_
APR 26_
FORECAST 
Volume in KL</t>
  </si>
  <si>
    <t>Q1_
26-27_
MAY 26_
FORECAST 
Volume in KL</t>
  </si>
  <si>
    <t>Q1_
26-27_
JUN 26_
FORECAST 
Volume in KL</t>
  </si>
  <si>
    <t>Q2_
26-27_
JUL 26_
FORECAST 
Volume in KL</t>
  </si>
  <si>
    <t>Q2_
26-27_
AUG 26_
FORECAST 
Volume in KL</t>
  </si>
  <si>
    <t>Q2_
26-27_
SEP 26_
FORECAST 
Volume in KL</t>
  </si>
  <si>
    <t>Q3_
26-27_
OCT 26_
FORECAST 
Volume in KL</t>
  </si>
  <si>
    <t>Q3_
26-27_
NOV 26_
FORECAST 
Volume in KL</t>
  </si>
  <si>
    <t>Q3_
26-27_
DEC 26_
FORECAST 
Volume in KL</t>
  </si>
  <si>
    <t>Q4_
26-27_
JAN 27_
FORECAST 
Volume in KL</t>
  </si>
  <si>
    <t>Q4_
26-27_
FEB 26_
FORECAST 
Volume in KL</t>
  </si>
  <si>
    <t>Q4_
26-27_
MAR 26_
FORECAST 
Volume in KL</t>
  </si>
  <si>
    <t>Q1_
26-27_
APR 26_
FORECAST 
Value in Crores</t>
  </si>
  <si>
    <t>Q1_
26-27_
MAY 26_
FORECAST 
Value in Crores</t>
  </si>
  <si>
    <t>Q1_
26-27_
JUN 26_
FORECAST 
Value in Crores</t>
  </si>
  <si>
    <t>Q2_
26-27_
JUL 26_
FORECAST 
Value in Crores</t>
  </si>
  <si>
    <t>Q2_
26-27_
AUG 26_
FORECAST 
Value in Crores</t>
  </si>
  <si>
    <t>Q2_
26-27_
SEP 26_
FORECAST 
Value in Crores</t>
  </si>
  <si>
    <t>Q3_
26-27_
OCT 26_
FORECAST 
Value in Crores</t>
  </si>
  <si>
    <t>Q3_
26-27_
NOV 26_
FORECAST 
Value in Crores</t>
  </si>
  <si>
    <t>Q3_
26-27_
DEC 26_
FORECAST 
Value in Crores</t>
  </si>
  <si>
    <t>Q4_
26-27_
JAN 27_
FORECAST 
Value in Crores</t>
  </si>
  <si>
    <t>Q4_
26-27_
FEB 26_
FORECAST 
Value in Crores</t>
  </si>
  <si>
    <t>Q4_
26-27_
MAR 26_
FORECAST 
Value in Crores</t>
  </si>
  <si>
    <t>26-27_
MAR 26_
FORECAST 
Value in Crores</t>
  </si>
  <si>
    <t>Quarterly Forecasting</t>
  </si>
  <si>
    <t xml:space="preserve">Quarter </t>
  </si>
  <si>
    <t>Date</t>
  </si>
  <si>
    <t>Tonnage Wise</t>
  </si>
  <si>
    <t>if we enter the Quarter Q2, then system should calculate the sales of last jul25, aug 25 and sep 25, and last 3 months of sales from April 26, may 26, and June 26.
if we enter the date, then system should calcuate the sales from last year 3 months forward and current year last 3 months</t>
  </si>
  <si>
    <t>Financial Year will be mandatory in case of Quarter entry</t>
  </si>
  <si>
    <t>Forecast Qty=whichever is maximum of from last year and current year* Product category %</t>
  </si>
  <si>
    <t>Provision to Upload the Sales forecast</t>
  </si>
  <si>
    <t>Final forecast qty is whichever is maximum out of sales forecast qty and Forecast Qty</t>
  </si>
  <si>
    <t>I</t>
  </si>
  <si>
    <t>Provision to upload the additional or substraction of forecast</t>
  </si>
  <si>
    <t>J</t>
  </si>
  <si>
    <t>Last 3 years sales data upload in the custom table</t>
  </si>
  <si>
    <t>July'25</t>
  </si>
  <si>
    <t>Aug'25</t>
  </si>
  <si>
    <t>Sep'25</t>
  </si>
  <si>
    <t>Total LY Quarter Sales Qty</t>
  </si>
  <si>
    <t>April'26</t>
  </si>
  <si>
    <t>May'26</t>
  </si>
  <si>
    <t>Jun'26</t>
  </si>
  <si>
    <t>L3 Month Total Sales Qty</t>
  </si>
  <si>
    <t>Max. Qty (E , I )</t>
  </si>
  <si>
    <t>Product Cat.</t>
  </si>
  <si>
    <t>Growth Based on Category</t>
  </si>
  <si>
    <t>Forecast (Max * Growth %)</t>
  </si>
  <si>
    <t>Business Forecast (Jul'26 To Sep'26)</t>
  </si>
  <si>
    <t>Final Forecast Qty</t>
  </si>
  <si>
    <t>July'26</t>
  </si>
  <si>
    <t>Aug'26</t>
  </si>
  <si>
    <t>Sep'26</t>
  </si>
  <si>
    <t>Pack Size</t>
  </si>
  <si>
    <t>Final july 26 in KL</t>
  </si>
  <si>
    <t>Upload Program format for sales forecast</t>
  </si>
  <si>
    <t>Quarter</t>
  </si>
  <si>
    <t>Sales Forecast Qty</t>
  </si>
  <si>
    <t>Upload Program format for addition or subtraction of Forecast</t>
  </si>
  <si>
    <t>Reason</t>
  </si>
  <si>
    <t>Monthly Forecasting</t>
  </si>
  <si>
    <t>Month</t>
  </si>
  <si>
    <t>if we enter the month July 26, then system should calculate the sales of last jul25, aug 25 and sep 25, and last 3 months of sales from April 26, may 26, and June 26.
if we enter the date, then system should calcuate the sales from last year 3 months forward and current year last 3 months</t>
  </si>
  <si>
    <t>Requirement Qty=whichever is maximum of from last year and current year/3* Product category %</t>
  </si>
  <si>
    <t>July'26 Forecast</t>
  </si>
  <si>
    <t>WRICEF Identity</t>
  </si>
  <si>
    <t>Yearly data, monthly data and Quarterly data</t>
  </si>
  <si>
    <t xml:space="preserve">Upload program for last year sales data </t>
  </si>
  <si>
    <t>Upload program for sales forecast</t>
  </si>
  <si>
    <t>Upload program for Changes in final forecast Qty</t>
  </si>
  <si>
    <t>Final Report</t>
  </si>
  <si>
    <t>Selection screen</t>
  </si>
  <si>
    <t>Forecast Number</t>
  </si>
  <si>
    <t xml:space="preserve">Material </t>
  </si>
  <si>
    <t>Material descr</t>
  </si>
  <si>
    <t>Material Group</t>
  </si>
  <si>
    <t>Material Group1</t>
  </si>
  <si>
    <t>Material Group 2</t>
  </si>
  <si>
    <t>Material Group 5</t>
  </si>
  <si>
    <t>Annual forecast</t>
  </si>
  <si>
    <t>Quarter forecast</t>
  </si>
  <si>
    <t>Additional forecast</t>
  </si>
  <si>
    <t>Total Quarter forecast</t>
  </si>
  <si>
    <t>Monthly Forecast</t>
  </si>
  <si>
    <t>Total Monthly forecast</t>
  </si>
  <si>
    <t>XYZ</t>
  </si>
  <si>
    <t>2025-2026</t>
  </si>
  <si>
    <t>Tonnage Wise with Gross Weight</t>
  </si>
  <si>
    <t>checkbox</t>
  </si>
  <si>
    <t>Legacy data</t>
  </si>
  <si>
    <t xml:space="preserve">Authorization through tvarvc. </t>
  </si>
  <si>
    <t>April</t>
  </si>
  <si>
    <t>EA</t>
  </si>
  <si>
    <t xml:space="preserve">may </t>
  </si>
  <si>
    <t>TMG</t>
  </si>
  <si>
    <t>upload</t>
  </si>
  <si>
    <t>material group</t>
  </si>
  <si>
    <t>%</t>
  </si>
  <si>
    <t>custom table maitainance</t>
  </si>
  <si>
    <t>ZPP_PROD_CATEGORY</t>
  </si>
  <si>
    <t>Field</t>
  </si>
  <si>
    <t>Category</t>
  </si>
  <si>
    <t>Load Factor</t>
  </si>
  <si>
    <t>MTS/MTO</t>
  </si>
  <si>
    <t>Upload Format</t>
  </si>
  <si>
    <t>Validation</t>
  </si>
  <si>
    <t>If the Plant AND MATERIAL IS EXIST IN THE TABLE, THEN OVERWRITE THE ENTRY OR ELSE NEW ENTRY</t>
  </si>
  <si>
    <t>Pass plant and material to marc-werks and plant and check entry is exist. If not, error message:- Material is not created in the Plant</t>
  </si>
  <si>
    <t>ZPP_MATERIAL_TRACKING</t>
  </si>
  <si>
    <t>New Material Code</t>
  </si>
  <si>
    <t>old Material code1</t>
  </si>
  <si>
    <t>old Material code2</t>
  </si>
  <si>
    <t xml:space="preserve">Plant </t>
  </si>
  <si>
    <t>New Material code</t>
  </si>
  <si>
    <t>Old Material 1</t>
  </si>
  <si>
    <t>Old Material 2</t>
  </si>
  <si>
    <t>ZPP_MATERIAL_EXCLUDE</t>
  </si>
  <si>
    <t>Material code</t>
  </si>
  <si>
    <t>ZPPT_BRAND</t>
  </si>
  <si>
    <t>ALV Display</t>
  </si>
  <si>
    <t>Price/DPL</t>
  </si>
  <si>
    <t>Gross Weight</t>
  </si>
  <si>
    <t>April 26 Tonnage</t>
  </si>
  <si>
    <t>May 26 Tonnage</t>
  </si>
  <si>
    <t>June 26 Ton</t>
  </si>
  <si>
    <t>july 26 ton</t>
  </si>
  <si>
    <t>Aug 26 Ton</t>
  </si>
  <si>
    <t>Sep 26 Ton</t>
  </si>
  <si>
    <t>Oct 26 Ton</t>
  </si>
  <si>
    <t>Nov 26 Ton</t>
  </si>
  <si>
    <t>Dec 26 Ton</t>
  </si>
  <si>
    <t>Jan 27 Ton</t>
  </si>
  <si>
    <t>Feb 27 Ton</t>
  </si>
  <si>
    <t>Mar 27 Ton</t>
  </si>
  <si>
    <t>Logic</t>
  </si>
  <si>
    <t>Mfg Plant name</t>
  </si>
  <si>
    <t>Pass Plant to T001W-WERKS and Take NAME1.</t>
  </si>
  <si>
    <t>Pass selection screen plant and ALV material to ZPP_BRAND-WERKS and MATNR and show BRAND.</t>
  </si>
  <si>
    <t>UOM</t>
  </si>
  <si>
    <t>Pass VBRP-MATNR to MARA-mATNR and take MARA-MEINS</t>
  </si>
  <si>
    <t>For VBRP-MATNR show MATKL.</t>
  </si>
  <si>
    <t>VBRP</t>
  </si>
  <si>
    <t>VBELN</t>
  </si>
  <si>
    <t>0010</t>
  </si>
  <si>
    <t>X1</t>
  </si>
  <si>
    <t>Pass ALV MATNR to MARM-MATNR where MARA-MEINH is not equal to ALV UOM and take MARM-UMREN. If the MEINH is equal to ML or GM, then divide the value with 1000.</t>
  </si>
  <si>
    <t>0020</t>
  </si>
  <si>
    <t>X2</t>
  </si>
  <si>
    <t>Pass ALV MATNR to MARA-MATNR and take MARA-BRGEW</t>
  </si>
  <si>
    <t>Pass material to A923-MATNR and take KNUMH by doing a decending on DATAB. pass KNUMH to KONP-KNUMH and take KBETR</t>
  </si>
  <si>
    <t xml:space="preserve">Pass VBRP-MATNR to MVKE-MATNR for MVGR1 is not equal to blank and VKORG=4000 and take AUMNG. </t>
  </si>
  <si>
    <t>Forecast Qty  of April 25* pack size/1000</t>
  </si>
  <si>
    <t>DPL*forecast Qty of April 25/10000000</t>
  </si>
  <si>
    <t>if user select the check box of tonnage, then show the value in tonnage.</t>
  </si>
  <si>
    <t>for tonnage</t>
  </si>
  <si>
    <t>Forecast Qty*Gross Weight/1000</t>
  </si>
  <si>
    <t>DPL/Price</t>
  </si>
  <si>
    <t>July26 additional</t>
  </si>
  <si>
    <t>July 26 final forecast</t>
  </si>
  <si>
    <t>Aug 26 additional</t>
  </si>
  <si>
    <t>Aug 26 final forecast</t>
  </si>
  <si>
    <t>Sep 26 additional</t>
  </si>
  <si>
    <t>Sep 26 final forecast</t>
  </si>
  <si>
    <t>july 26 tonnage</t>
  </si>
  <si>
    <t>Aug 26 Tonnage</t>
  </si>
  <si>
    <t>Sep 26 tonnage</t>
  </si>
  <si>
    <t>July'26 KL</t>
  </si>
  <si>
    <t>Aug'26 KL</t>
  </si>
  <si>
    <t>Sep'26 KL</t>
  </si>
  <si>
    <t>July'26 IN cr</t>
  </si>
  <si>
    <t>Aug'26 in CR</t>
  </si>
  <si>
    <t>Sep'26 in CR</t>
  </si>
  <si>
    <t>JULY</t>
  </si>
  <si>
    <t>SEP</t>
  </si>
  <si>
    <t>Year</t>
  </si>
  <si>
    <t>year is  mandatory when Quarter is not initial</t>
  </si>
  <si>
    <t>eighter quarter or date, one field must be mandatory.</t>
  </si>
  <si>
    <t>selection screen plant</t>
  </si>
  <si>
    <t>Pass selection screen QUATER as FKDAT to VBRK-FKDAT and take all VBELN where VBRK-FKSTO is not equal to X and VBTYP is not equal to U and take all VBRK-VBELN and FKDAT. Pass all VBRK-VBELN and selection screen Plant to VBRP-VBELN and  WERKS where VBRP-shkzg is not equal to blank and take VBRP-MATNR .</t>
  </si>
  <si>
    <t>Q1</t>
  </si>
  <si>
    <t>APRIL to June</t>
  </si>
  <si>
    <t>01.04.2026</t>
  </si>
  <si>
    <t>30.06.2026</t>
  </si>
  <si>
    <t>Description</t>
  </si>
  <si>
    <t>Pass VBRP-MATNR to MAKT-MATNR and show MAKT-MAKTX.</t>
  </si>
  <si>
    <t>Q2</t>
  </si>
  <si>
    <t>JULY TO SEP</t>
  </si>
  <si>
    <t>01.07.2026</t>
  </si>
  <si>
    <t>30.09.2026</t>
  </si>
  <si>
    <t>Q3</t>
  </si>
  <si>
    <t>OCT to Dec</t>
  </si>
  <si>
    <t>01.10.2026</t>
  </si>
  <si>
    <t>31.12.2026</t>
  </si>
  <si>
    <t>Net weight</t>
  </si>
  <si>
    <t>For VBRP-MATNR show NTGEW.</t>
  </si>
  <si>
    <t>Q4</t>
  </si>
  <si>
    <t>JAN TO MAR</t>
  </si>
  <si>
    <t>01.01.2027</t>
  </si>
  <si>
    <t>31.03.2027</t>
  </si>
  <si>
    <t>Material Group 1</t>
  </si>
  <si>
    <t>Pass VBRP-MATNR to MVKE-MATNR for MVGR1 is not equal to blank and VKORG=1100 and take MVGR1. pass MVKE-MVGR1 to TVM1T-MVGR1 and take BEZEI</t>
  </si>
  <si>
    <t>Pass VBRP-MATNR to MVKE-MATNR for MVGR2 is not equal to blank and VKORG=1100 and take MVGR2. pass MVKE-MVGR2 to TVM2T-MVGR2 and take BEZEI</t>
  </si>
  <si>
    <t>Material Group 3</t>
  </si>
  <si>
    <t>Pass VBRP-MATNR to MVKE-MATNR for MVGR3 is not equal to blank and VKORG=1100 and take MVGR3. pass MVKE-MVGR3 to TVM3T-MVGR3 and take BEZEI</t>
  </si>
  <si>
    <t>Material Group 4</t>
  </si>
  <si>
    <t>Pass VBRP-MATNR to MVKE-MATNR for MVGR4 is not equal to blank and VKORG=1100 and take MVGR4. pass MVKE-MVGR4 to TVM4T-MVG41 and take BEZEI</t>
  </si>
  <si>
    <t>Pass VBRP-MATNR to MVKE-MATNR for MVGR5 is not equal to blank and VKORG=1100 and take MVGR5. pass MVKE-MVGR5 to TVM5T-MVGR5 and take BEZEI</t>
  </si>
  <si>
    <t>For VBRP-WERKS, MATNR, and VBRK-FKDAT(01.07.2025 to 31.07.2025)  Do the sum of VBRP-FKIMG MATNR wise</t>
  </si>
  <si>
    <t>also Pass MATDOC-MATNR and WERKS to ZPP_MATERIAL_TRACKING-NEW_MATNR and WERKS and take ZPP_MATERIAL_TRACKING- OLD_MATERIAL1 and OLD_MATERIAL2. Pass this two old material to MATDOC-MATNR,WERKS and BUDAT is from ALV and do the sum of MATDOC-MENGE.</t>
  </si>
  <si>
    <t>if user has selected the checkbox of legacy data then pass plant, material and year to ZPP_SALES_HISTORY-MATNR and WERKS and take a month wise value.</t>
  </si>
  <si>
    <t>sum of aug 2025 to sep 25</t>
  </si>
  <si>
    <t>sum of April 26 to June 26.</t>
  </si>
  <si>
    <t>Maximum from Total LY sales qty and L3 month total sales qty</t>
  </si>
  <si>
    <t>pass VBRP-MATNR and werks to ZPP_MATERIAL_CATEGORY-MATNR and WERKS and take Category</t>
  </si>
  <si>
    <t>pass VBRP-MATNR and werks to ZPP_MATERIAL_CATEGORY-MATNR and WERKS and take Load Factor</t>
  </si>
  <si>
    <t>pass VBRP-MATNR and werks to ZPP_MATERIAL_CATEGORY-MATNR and WERKS and take MTS/MTO</t>
  </si>
  <si>
    <t>PRODUCT CATEGORY * MAX QTY</t>
  </si>
  <si>
    <t>From ZPP_ADH_FORE_QUATER</t>
  </si>
  <si>
    <t>Compare forecast and business forecast</t>
  </si>
  <si>
    <t>(july 25/total quarter sales of last year) * final forecast qty</t>
  </si>
  <si>
    <t>(aug 25/total quarter sales of last year) * final forecast qty</t>
  </si>
  <si>
    <t>(sep 25/total quarter sales of last year) * final forecast qty</t>
  </si>
  <si>
    <t>July 26 TONNAGE</t>
  </si>
  <si>
    <t>Net weight * july 26</t>
  </si>
  <si>
    <t>Aug 26 TONNAE</t>
  </si>
  <si>
    <t>Net weight * Aug 26</t>
  </si>
  <si>
    <t>Sep 26 TONNAGE</t>
  </si>
  <si>
    <t>Net Weight * Sep 26</t>
  </si>
  <si>
    <t>provide to save the data only when the quarter condition is matched.</t>
  </si>
  <si>
    <t>Instert the data with same forecast number by passing the fiscal year to ZPP_ADH_FORECAST_YEAR-FISCAL YEAR and take FORECAST number</t>
  </si>
  <si>
    <t>upon save, please insert the data in ZPP_ADH_FORE_QUATER</t>
  </si>
  <si>
    <t>FORECAST NUMBER</t>
  </si>
  <si>
    <t>From ALV</t>
  </si>
  <si>
    <t xml:space="preserve">QUARTER </t>
  </si>
  <si>
    <t>YEAR</t>
  </si>
  <si>
    <t>M4_LAST</t>
  </si>
  <si>
    <t>M5_LAST</t>
  </si>
  <si>
    <t>M6_LAST</t>
  </si>
  <si>
    <t>M1_CURRENT</t>
  </si>
  <si>
    <t>M2_CURRENT</t>
  </si>
  <si>
    <t>M3_CURRENT</t>
  </si>
  <si>
    <t>MAX QTY</t>
  </si>
  <si>
    <t>Business Forecast M4 TO M6</t>
  </si>
  <si>
    <t>Business Forecast M4 TO M6 additional</t>
  </si>
  <si>
    <t>M4_FORECAST</t>
  </si>
  <si>
    <t>M5_FORECAST</t>
  </si>
  <si>
    <t>M6_FORECAST</t>
  </si>
  <si>
    <t>M4_TONNAGE</t>
  </si>
  <si>
    <t>M5_TONNAGE</t>
  </si>
  <si>
    <t>M6_TONNAGE</t>
  </si>
  <si>
    <t>reason for change</t>
  </si>
  <si>
    <t>Upload Program format</t>
  </si>
  <si>
    <t>PLANT</t>
  </si>
  <si>
    <t>QUARTER</t>
  </si>
  <si>
    <t>SALES FORECAST</t>
  </si>
  <si>
    <t>Upload program format for change</t>
  </si>
  <si>
    <t>Reason for change</t>
  </si>
  <si>
    <t>Check material, plant, quarter, year, month is exist in the above mentioned table</t>
  </si>
  <si>
    <t>financial year</t>
  </si>
  <si>
    <t>Material group 1</t>
  </si>
  <si>
    <t>Material group 2</t>
  </si>
  <si>
    <t>Material group 5</t>
  </si>
  <si>
    <t>Quarter Forecast</t>
  </si>
  <si>
    <t>Quarter additional Forecast</t>
  </si>
  <si>
    <t>Final Quarter Forecast</t>
  </si>
  <si>
    <t>Additonal Monthly Forecast</t>
  </si>
  <si>
    <t>Final Monthly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</si>
</sst>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_ ;_ * \-#,##0_ ;_ * &quot;-&quot;??_ ;_ @_ "/>
    <numFmt numFmtId="165" formatCode="_ * #,##0.0_ ;_ * \-#,##0.0_ ;_ * &quot;-&quot;??_ ;_ @_ 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Calibri Light"/>
      <family val="2"/>
    </font>
    <font>
      <b/>
      <sz val="9"/>
      <color rgb="FFFF0000"/>
      <name val="Calibri Light"/>
      <family val="2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5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16" fontId="0" fillId="0" borderId="0" xfId="0" applyNumberFormat="1"/>
    <xf numFmtId="0" fontId="1" fillId="0" borderId="1" xfId="0" applyFont="1" applyBorder="1" applyAlignment="1">
      <alignment wrapText="1"/>
    </xf>
    <xf numFmtId="164" fontId="6" fillId="0" borderId="1" xfId="1" applyNumberFormat="1" applyFont="1" applyBorder="1"/>
    <xf numFmtId="164" fontId="6" fillId="4" borderId="1" xfId="1" applyNumberFormat="1" applyFont="1" applyFill="1" applyBorder="1"/>
    <xf numFmtId="165" fontId="6" fillId="0" borderId="1" xfId="1" applyNumberFormat="1" applyFon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6" fontId="0" fillId="0" borderId="0" xfId="0" applyNumberFormat="1" applyAlignment="1">
      <alignment wrapText="1"/>
    </xf>
    <xf numFmtId="0" fontId="3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6" fillId="0" borderId="1" xfId="0" applyFont="1" applyBorder="1"/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/>
    <xf numFmtId="164" fontId="6" fillId="0" borderId="1" xfId="1" applyNumberFormat="1" applyFont="1" applyBorder="1" applyAlignment="1">
      <alignment horizontal="center"/>
    </xf>
    <xf numFmtId="164" fontId="2" fillId="4" borderId="1" xfId="1" applyNumberFormat="1" applyFont="1" applyFill="1" applyBorder="1" applyAlignment="1">
      <alignment horizontal="center"/>
    </xf>
    <xf numFmtId="164" fontId="6" fillId="0" borderId="1" xfId="0" applyNumberFormat="1" applyFont="1" applyBorder="1"/>
    <xf numFmtId="0" fontId="2" fillId="0" borderId="0" xfId="0" applyFont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0" fillId="0" borderId="0" xfId="0" applyAlignment="1">
      <alignment vertical="center" wrapText="1"/>
    </xf>
    <xf numFmtId="16" fontId="0" fillId="0" borderId="1" xfId="0" applyNumberFormat="1" applyBorder="1"/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wrapText="1"/>
    </xf>
    <xf numFmtId="0" fontId="1" fillId="0" borderId="4" xfId="0" applyFont="1" applyBorder="1"/>
    <xf numFmtId="0" fontId="2" fillId="0" borderId="3" xfId="0" applyFont="1" applyBorder="1" applyAlignment="1">
      <alignment vertical="center" wrapText="1"/>
    </xf>
  </cellXfs>
  <cellStyles count="2">
    <cellStyle name="Comma" xfId="1" builtinId="3"/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4CBCA-15EC-40F7-9ECF-A7F638E37031}">
  <dimension ref="A2:AX110"/>
  <sheetViews>
    <sheetView topLeftCell="A16" workbookViewId="0">
      <selection activeCell="A22" sqref="A22:XFD27"/>
    </sheetView>
  </sheetViews>
  <sheetFormatPr defaultRowHeight="14.45"/>
  <cols>
    <col min="1" max="1" width="14.42578125" bestFit="1" customWidth="1"/>
    <col min="2" max="2" width="48" style="3" customWidth="1"/>
    <col min="4" max="4" width="17.140625" style="3" customWidth="1"/>
    <col min="5" max="5" width="9.85546875" bestFit="1" customWidth="1"/>
    <col min="6" max="6" width="15.140625" bestFit="1" customWidth="1"/>
    <col min="22" max="22" width="9.140625" bestFit="1" customWidth="1"/>
    <col min="25" max="25" width="14.85546875" bestFit="1" customWidth="1"/>
  </cols>
  <sheetData>
    <row r="2" spans="1:5">
      <c r="A2" s="1">
        <v>1</v>
      </c>
      <c r="B2" s="2" t="s">
        <v>0</v>
      </c>
    </row>
    <row r="4" spans="1:5">
      <c r="A4" s="1">
        <v>1.1000000000000001</v>
      </c>
      <c r="B4" s="2" t="s">
        <v>1</v>
      </c>
    </row>
    <row r="6" spans="1:5">
      <c r="A6" s="1" t="s">
        <v>2</v>
      </c>
    </row>
    <row r="7" spans="1:5">
      <c r="A7" s="1" t="s">
        <v>3</v>
      </c>
      <c r="B7" s="3" t="s">
        <v>4</v>
      </c>
      <c r="C7" t="s">
        <v>5</v>
      </c>
      <c r="E7" t="s">
        <v>6</v>
      </c>
    </row>
    <row r="8" spans="1:5">
      <c r="A8" s="1" t="s">
        <v>7</v>
      </c>
      <c r="C8" t="s">
        <v>5</v>
      </c>
      <c r="E8" t="s">
        <v>6</v>
      </c>
    </row>
    <row r="9" spans="1:5">
      <c r="A9" s="1" t="s">
        <v>8</v>
      </c>
      <c r="B9" s="3" t="s">
        <v>4</v>
      </c>
      <c r="C9" t="s">
        <v>5</v>
      </c>
      <c r="E9" t="s">
        <v>6</v>
      </c>
    </row>
    <row r="10" spans="1:5">
      <c r="A10" s="1" t="s">
        <v>9</v>
      </c>
      <c r="B10" s="3" t="s">
        <v>10</v>
      </c>
    </row>
    <row r="11" spans="1:5">
      <c r="A11" s="1"/>
    </row>
    <row r="13" spans="1:5" ht="29.1">
      <c r="A13" t="s">
        <v>11</v>
      </c>
      <c r="B13" s="3" t="s">
        <v>12</v>
      </c>
    </row>
    <row r="14" spans="1:5" ht="29.1">
      <c r="A14" t="s">
        <v>13</v>
      </c>
      <c r="B14" s="3" t="s">
        <v>14</v>
      </c>
    </row>
    <row r="15" spans="1:5" ht="29.1">
      <c r="A15" t="s">
        <v>15</v>
      </c>
      <c r="B15" s="3" t="s">
        <v>16</v>
      </c>
    </row>
    <row r="16" spans="1:5">
      <c r="A16" t="s">
        <v>17</v>
      </c>
      <c r="B16" s="3" t="s">
        <v>18</v>
      </c>
    </row>
    <row r="17" spans="1:50">
      <c r="A17" t="s">
        <v>19</v>
      </c>
      <c r="B17" s="3" t="s">
        <v>20</v>
      </c>
    </row>
    <row r="18" spans="1:50">
      <c r="A18" t="s">
        <v>21</v>
      </c>
      <c r="B18" s="3" t="s">
        <v>22</v>
      </c>
    </row>
    <row r="19" spans="1:50">
      <c r="A19" t="s">
        <v>23</v>
      </c>
      <c r="B19" s="3" t="s">
        <v>24</v>
      </c>
    </row>
    <row r="20" spans="1:50" ht="29.1">
      <c r="A20" t="s">
        <v>25</v>
      </c>
      <c r="B20" s="3" t="s">
        <v>26</v>
      </c>
    </row>
    <row r="22" spans="1:50">
      <c r="A22" s="1" t="s">
        <v>27</v>
      </c>
    </row>
    <row r="24" spans="1:50" ht="72">
      <c r="A24" s="10" t="s">
        <v>28</v>
      </c>
      <c r="B24" s="10" t="s">
        <v>29</v>
      </c>
      <c r="C24" s="10" t="s">
        <v>30</v>
      </c>
      <c r="D24" s="10" t="s">
        <v>31</v>
      </c>
      <c r="E24" s="10" t="s">
        <v>32</v>
      </c>
      <c r="F24" s="10" t="s">
        <v>33</v>
      </c>
      <c r="G24" s="10" t="s">
        <v>34</v>
      </c>
      <c r="H24" s="10" t="s">
        <v>35</v>
      </c>
      <c r="I24" s="10" t="s">
        <v>36</v>
      </c>
      <c r="J24" s="10" t="s">
        <v>37</v>
      </c>
      <c r="K24" s="10" t="s">
        <v>38</v>
      </c>
      <c r="L24" s="11" t="s">
        <v>39</v>
      </c>
      <c r="M24" s="10" t="s">
        <v>40</v>
      </c>
      <c r="N24" s="10" t="s">
        <v>41</v>
      </c>
      <c r="O24" s="10" t="s">
        <v>42</v>
      </c>
      <c r="P24" s="10" t="s">
        <v>43</v>
      </c>
      <c r="Q24" s="10" t="s">
        <v>44</v>
      </c>
      <c r="R24" s="10" t="s">
        <v>45</v>
      </c>
      <c r="S24" s="10" t="s">
        <v>46</v>
      </c>
      <c r="T24" s="10" t="s">
        <v>47</v>
      </c>
      <c r="U24" s="10" t="s">
        <v>48</v>
      </c>
      <c r="V24" s="10" t="s">
        <v>49</v>
      </c>
      <c r="W24" s="10" t="s">
        <v>50</v>
      </c>
      <c r="X24" s="10" t="s">
        <v>51</v>
      </c>
      <c r="Y24" s="10" t="s">
        <v>52</v>
      </c>
      <c r="Z24" s="10" t="s">
        <v>53</v>
      </c>
      <c r="AA24" s="10" t="s">
        <v>54</v>
      </c>
      <c r="AB24" s="10" t="s">
        <v>55</v>
      </c>
      <c r="AC24" s="10" t="s">
        <v>56</v>
      </c>
      <c r="AD24" s="10" t="s">
        <v>57</v>
      </c>
      <c r="AE24" s="10" t="s">
        <v>58</v>
      </c>
      <c r="AF24" s="10" t="s">
        <v>59</v>
      </c>
      <c r="AG24" s="10" t="s">
        <v>60</v>
      </c>
      <c r="AH24" s="10" t="s">
        <v>61</v>
      </c>
      <c r="AI24" s="10" t="s">
        <v>62</v>
      </c>
      <c r="AJ24" s="10" t="s">
        <v>63</v>
      </c>
      <c r="AK24" s="10" t="s">
        <v>64</v>
      </c>
      <c r="AL24" s="10" t="s">
        <v>65</v>
      </c>
      <c r="AM24" s="10" t="s">
        <v>66</v>
      </c>
      <c r="AN24" s="10" t="s">
        <v>67</v>
      </c>
      <c r="AO24" s="10" t="s">
        <v>68</v>
      </c>
      <c r="AP24" s="10" t="s">
        <v>69</v>
      </c>
      <c r="AQ24" s="10" t="s">
        <v>70</v>
      </c>
      <c r="AR24" s="10" t="s">
        <v>71</v>
      </c>
      <c r="AS24" s="10" t="s">
        <v>72</v>
      </c>
      <c r="AT24" s="10" t="s">
        <v>73</v>
      </c>
      <c r="AU24" s="10" t="s">
        <v>74</v>
      </c>
      <c r="AV24" s="10" t="s">
        <v>75</v>
      </c>
      <c r="AW24" s="10" t="s">
        <v>76</v>
      </c>
      <c r="AX24" s="10" t="s">
        <v>77</v>
      </c>
    </row>
    <row r="25" spans="1:50">
      <c r="A25" s="5"/>
      <c r="B25" s="6"/>
      <c r="C25" s="5"/>
      <c r="D25" s="6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4"/>
      <c r="Y25" s="4"/>
      <c r="Z25" s="4"/>
    </row>
    <row r="26" spans="1:50">
      <c r="A26" s="5"/>
      <c r="B26" s="6"/>
      <c r="C26" s="5"/>
      <c r="D26" s="6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4"/>
      <c r="Y26" s="4"/>
      <c r="Z26" s="4"/>
    </row>
    <row r="27" spans="1:50">
      <c r="A27" s="5"/>
      <c r="B27" s="6"/>
      <c r="C27" s="5"/>
      <c r="D27" s="6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4"/>
      <c r="Y27" s="4"/>
      <c r="Z27" s="4"/>
    </row>
    <row r="29" spans="1:50">
      <c r="A29" s="1">
        <v>1.2</v>
      </c>
      <c r="B29" s="2" t="s">
        <v>78</v>
      </c>
    </row>
    <row r="31" spans="1:50">
      <c r="A31" s="1" t="s">
        <v>2</v>
      </c>
    </row>
    <row r="32" spans="1:50">
      <c r="A32" s="1" t="s">
        <v>3</v>
      </c>
      <c r="B32" s="3" t="s">
        <v>4</v>
      </c>
      <c r="C32" t="s">
        <v>5</v>
      </c>
      <c r="E32" t="s">
        <v>6</v>
      </c>
    </row>
    <row r="33" spans="1:5">
      <c r="A33" s="1" t="s">
        <v>7</v>
      </c>
      <c r="C33" t="s">
        <v>5</v>
      </c>
      <c r="E33" t="s">
        <v>6</v>
      </c>
    </row>
    <row r="34" spans="1:5">
      <c r="A34" s="1" t="s">
        <v>8</v>
      </c>
      <c r="C34" t="s">
        <v>5</v>
      </c>
      <c r="E34" t="s">
        <v>6</v>
      </c>
    </row>
    <row r="35" spans="1:5">
      <c r="A35" s="1" t="s">
        <v>79</v>
      </c>
      <c r="B35" s="3" t="s">
        <v>4</v>
      </c>
    </row>
    <row r="36" spans="1:5">
      <c r="A36" s="1" t="s">
        <v>80</v>
      </c>
      <c r="B36" s="3" t="s">
        <v>4</v>
      </c>
      <c r="C36" t="s">
        <v>5</v>
      </c>
      <c r="E36" t="s">
        <v>6</v>
      </c>
    </row>
    <row r="37" spans="1:5">
      <c r="A37" s="1" t="s">
        <v>9</v>
      </c>
      <c r="B37" s="3" t="s">
        <v>81</v>
      </c>
    </row>
    <row r="39" spans="1:5" ht="101.45">
      <c r="A39" t="s">
        <v>11</v>
      </c>
      <c r="B39" s="3" t="s">
        <v>82</v>
      </c>
      <c r="D39" s="3" t="s">
        <v>83</v>
      </c>
    </row>
    <row r="40" spans="1:5" ht="29.1">
      <c r="A40" t="s">
        <v>13</v>
      </c>
      <c r="B40" s="3" t="s">
        <v>14</v>
      </c>
    </row>
    <row r="41" spans="1:5" ht="29.1">
      <c r="A41" t="s">
        <v>15</v>
      </c>
      <c r="B41" s="3" t="s">
        <v>84</v>
      </c>
    </row>
    <row r="42" spans="1:5">
      <c r="A42" t="s">
        <v>17</v>
      </c>
      <c r="B42" s="3" t="s">
        <v>18</v>
      </c>
    </row>
    <row r="43" spans="1:5">
      <c r="A43" t="s">
        <v>19</v>
      </c>
      <c r="B43" s="3" t="s">
        <v>20</v>
      </c>
    </row>
    <row r="44" spans="1:5">
      <c r="A44" t="s">
        <v>21</v>
      </c>
      <c r="B44" s="3" t="s">
        <v>22</v>
      </c>
    </row>
    <row r="45" spans="1:5">
      <c r="A45" t="s">
        <v>23</v>
      </c>
      <c r="B45" s="3" t="s">
        <v>85</v>
      </c>
    </row>
    <row r="46" spans="1:5" ht="29.1">
      <c r="A46" t="s">
        <v>25</v>
      </c>
      <c r="B46" s="3" t="s">
        <v>86</v>
      </c>
    </row>
    <row r="47" spans="1:5" ht="29.1">
      <c r="A47" t="s">
        <v>87</v>
      </c>
      <c r="B47" s="3" t="s">
        <v>88</v>
      </c>
    </row>
    <row r="48" spans="1:5">
      <c r="A48" t="s">
        <v>89</v>
      </c>
      <c r="B48" s="3" t="s">
        <v>90</v>
      </c>
    </row>
    <row r="50" spans="1:50" ht="51.95">
      <c r="A50" s="10" t="s">
        <v>28</v>
      </c>
      <c r="B50" s="10" t="s">
        <v>29</v>
      </c>
      <c r="C50" s="10" t="s">
        <v>30</v>
      </c>
      <c r="D50" s="10" t="s">
        <v>31</v>
      </c>
      <c r="E50" s="10" t="s">
        <v>32</v>
      </c>
      <c r="F50" s="10" t="s">
        <v>33</v>
      </c>
      <c r="G50" s="10" t="s">
        <v>34</v>
      </c>
      <c r="H50" s="10" t="s">
        <v>35</v>
      </c>
      <c r="I50" s="10" t="s">
        <v>36</v>
      </c>
      <c r="J50" s="10" t="s">
        <v>37</v>
      </c>
      <c r="K50" s="10" t="s">
        <v>38</v>
      </c>
      <c r="L50" s="11" t="s">
        <v>39</v>
      </c>
      <c r="M50" s="10" t="s">
        <v>40</v>
      </c>
      <c r="N50" s="12" t="s">
        <v>91</v>
      </c>
      <c r="O50" s="12" t="s">
        <v>92</v>
      </c>
      <c r="P50" s="12" t="s">
        <v>93</v>
      </c>
      <c r="Q50" s="13" t="s">
        <v>94</v>
      </c>
      <c r="R50" s="12" t="s">
        <v>95</v>
      </c>
      <c r="S50" s="12" t="s">
        <v>96</v>
      </c>
      <c r="T50" s="12" t="s">
        <v>97</v>
      </c>
      <c r="U50" s="14" t="s">
        <v>98</v>
      </c>
      <c r="V50" s="15" t="s">
        <v>99</v>
      </c>
      <c r="W50" s="14" t="s">
        <v>100</v>
      </c>
      <c r="X50" s="14" t="s">
        <v>101</v>
      </c>
      <c r="Y50" s="14" t="s">
        <v>102</v>
      </c>
      <c r="Z50" s="14" t="s">
        <v>103</v>
      </c>
      <c r="AA50" s="13" t="s">
        <v>104</v>
      </c>
      <c r="AB50" s="12" t="s">
        <v>105</v>
      </c>
      <c r="AC50" s="12" t="s">
        <v>106</v>
      </c>
      <c r="AD50" s="12" t="s">
        <v>107</v>
      </c>
      <c r="AE50" s="10" t="s">
        <v>108</v>
      </c>
      <c r="AF50" s="10" t="s">
        <v>109</v>
      </c>
      <c r="AG50" s="8"/>
      <c r="AH50" s="8"/>
      <c r="AI50" s="8"/>
      <c r="AJ50" s="8"/>
      <c r="AK50" s="8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</row>
    <row r="51" spans="1:50">
      <c r="A51" s="5"/>
      <c r="B51" s="6"/>
      <c r="C51" s="5"/>
      <c r="D51" s="6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4"/>
      <c r="Y51" s="4"/>
      <c r="Z51" s="4"/>
    </row>
    <row r="52" spans="1:50">
      <c r="A52" s="5"/>
      <c r="B52" s="6"/>
      <c r="C52" s="5"/>
      <c r="D52" s="6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4"/>
      <c r="Y52" s="4"/>
      <c r="Z52" s="4"/>
    </row>
    <row r="53" spans="1:50">
      <c r="A53" s="5"/>
      <c r="B53" s="6"/>
      <c r="C53" s="5"/>
      <c r="D53" s="6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4"/>
      <c r="Y53" s="4"/>
      <c r="Z53" s="4"/>
    </row>
    <row r="55" spans="1:50">
      <c r="A55" s="7" t="s">
        <v>110</v>
      </c>
    </row>
    <row r="57" spans="1:50">
      <c r="A57" s="5" t="s">
        <v>3</v>
      </c>
      <c r="B57" s="6" t="s">
        <v>7</v>
      </c>
      <c r="C57" s="5" t="s">
        <v>111</v>
      </c>
      <c r="D57" s="6" t="s">
        <v>8</v>
      </c>
      <c r="E57" s="5" t="s">
        <v>112</v>
      </c>
    </row>
    <row r="58" spans="1:50">
      <c r="A58" s="5" t="s">
        <v>4</v>
      </c>
      <c r="B58" s="5" t="s">
        <v>4</v>
      </c>
      <c r="C58" s="5" t="s">
        <v>4</v>
      </c>
      <c r="D58" s="6" t="s">
        <v>4</v>
      </c>
      <c r="E58" s="5" t="s">
        <v>4</v>
      </c>
    </row>
    <row r="60" spans="1:50">
      <c r="A60" s="7" t="s">
        <v>113</v>
      </c>
    </row>
    <row r="62" spans="1:50">
      <c r="A62" s="5" t="s">
        <v>3</v>
      </c>
      <c r="B62" s="6" t="s">
        <v>7</v>
      </c>
      <c r="C62" s="5" t="s">
        <v>111</v>
      </c>
      <c r="D62" s="6" t="s">
        <v>8</v>
      </c>
      <c r="E62" s="5" t="s">
        <v>112</v>
      </c>
      <c r="F62" s="5" t="s">
        <v>114</v>
      </c>
    </row>
    <row r="63" spans="1:50">
      <c r="A63" s="5" t="s">
        <v>4</v>
      </c>
      <c r="B63" s="5" t="s">
        <v>4</v>
      </c>
      <c r="C63" s="5" t="s">
        <v>4</v>
      </c>
      <c r="D63" s="6" t="s">
        <v>4</v>
      </c>
      <c r="E63" s="5" t="s">
        <v>4</v>
      </c>
      <c r="F63" s="5" t="s">
        <v>4</v>
      </c>
    </row>
    <row r="66" spans="1:5">
      <c r="A66" s="1">
        <v>1.3</v>
      </c>
      <c r="B66" s="2" t="s">
        <v>115</v>
      </c>
    </row>
    <row r="68" spans="1:5">
      <c r="A68" s="1" t="s">
        <v>2</v>
      </c>
    </row>
    <row r="69" spans="1:5">
      <c r="A69" s="1" t="s">
        <v>3</v>
      </c>
      <c r="B69" s="3" t="s">
        <v>4</v>
      </c>
      <c r="C69" t="s">
        <v>5</v>
      </c>
      <c r="E69" t="s">
        <v>6</v>
      </c>
    </row>
    <row r="70" spans="1:5">
      <c r="A70" s="1" t="s">
        <v>7</v>
      </c>
      <c r="C70" t="s">
        <v>5</v>
      </c>
      <c r="E70" t="s">
        <v>6</v>
      </c>
    </row>
    <row r="71" spans="1:5">
      <c r="A71" s="1" t="s">
        <v>8</v>
      </c>
      <c r="C71" t="s">
        <v>5</v>
      </c>
      <c r="E71" t="s">
        <v>6</v>
      </c>
    </row>
    <row r="72" spans="1:5">
      <c r="A72" s="1" t="s">
        <v>116</v>
      </c>
      <c r="B72" s="3" t="s">
        <v>4</v>
      </c>
    </row>
    <row r="73" spans="1:5">
      <c r="A73" s="1" t="s">
        <v>80</v>
      </c>
      <c r="B73" s="3" t="s">
        <v>4</v>
      </c>
      <c r="C73" t="s">
        <v>5</v>
      </c>
      <c r="E73" t="s">
        <v>6</v>
      </c>
    </row>
    <row r="74" spans="1:5">
      <c r="A74" s="1" t="s">
        <v>9</v>
      </c>
      <c r="B74" s="3" t="s">
        <v>81</v>
      </c>
    </row>
    <row r="76" spans="1:5" ht="101.45">
      <c r="A76" t="s">
        <v>11</v>
      </c>
      <c r="B76" s="3" t="s">
        <v>117</v>
      </c>
      <c r="D76" s="3" t="s">
        <v>83</v>
      </c>
    </row>
    <row r="77" spans="1:5" ht="29.1">
      <c r="A77" t="s">
        <v>13</v>
      </c>
      <c r="B77" s="3" t="s">
        <v>14</v>
      </c>
    </row>
    <row r="78" spans="1:5" ht="29.1">
      <c r="A78" t="s">
        <v>15</v>
      </c>
      <c r="B78" s="3" t="s">
        <v>118</v>
      </c>
    </row>
    <row r="79" spans="1:5">
      <c r="A79" t="s">
        <v>17</v>
      </c>
      <c r="B79" s="3" t="s">
        <v>18</v>
      </c>
    </row>
    <row r="80" spans="1:5">
      <c r="A80" t="s">
        <v>19</v>
      </c>
      <c r="B80" s="3" t="s">
        <v>20</v>
      </c>
    </row>
    <row r="81" spans="1:30">
      <c r="A81" t="s">
        <v>21</v>
      </c>
      <c r="B81" s="3" t="s">
        <v>22</v>
      </c>
    </row>
    <row r="82" spans="1:30">
      <c r="A82" t="s">
        <v>23</v>
      </c>
      <c r="B82" s="3" t="s">
        <v>85</v>
      </c>
    </row>
    <row r="83" spans="1:30" ht="29.1">
      <c r="A83" t="s">
        <v>25</v>
      </c>
      <c r="B83" s="3" t="s">
        <v>86</v>
      </c>
    </row>
    <row r="84" spans="1:30" ht="29.1">
      <c r="A84" t="s">
        <v>87</v>
      </c>
      <c r="B84" s="3" t="s">
        <v>88</v>
      </c>
    </row>
    <row r="85" spans="1:30">
      <c r="A85" t="s">
        <v>89</v>
      </c>
      <c r="B85" s="3" t="s">
        <v>90</v>
      </c>
    </row>
    <row r="87" spans="1:30">
      <c r="A87" s="7" t="s">
        <v>119</v>
      </c>
    </row>
    <row r="88" spans="1:30" ht="51.95">
      <c r="A88" s="10" t="s">
        <v>28</v>
      </c>
      <c r="B88" s="10" t="s">
        <v>29</v>
      </c>
      <c r="C88" s="10" t="s">
        <v>30</v>
      </c>
      <c r="D88" s="10" t="s">
        <v>31</v>
      </c>
      <c r="E88" s="10" t="s">
        <v>32</v>
      </c>
      <c r="F88" s="10" t="s">
        <v>33</v>
      </c>
      <c r="G88" s="10" t="s">
        <v>34</v>
      </c>
      <c r="H88" s="10" t="s">
        <v>35</v>
      </c>
      <c r="I88" s="10" t="s">
        <v>36</v>
      </c>
      <c r="J88" s="10" t="s">
        <v>37</v>
      </c>
      <c r="K88" s="10" t="s">
        <v>38</v>
      </c>
      <c r="L88" s="11" t="s">
        <v>39</v>
      </c>
      <c r="M88" s="10" t="s">
        <v>40</v>
      </c>
      <c r="N88" s="16" t="s">
        <v>91</v>
      </c>
      <c r="O88" s="16" t="s">
        <v>92</v>
      </c>
      <c r="P88" s="16" t="s">
        <v>93</v>
      </c>
      <c r="Q88" s="17" t="s">
        <v>94</v>
      </c>
      <c r="R88" s="16" t="s">
        <v>95</v>
      </c>
      <c r="S88" s="16" t="s">
        <v>96</v>
      </c>
      <c r="T88" s="16" t="s">
        <v>97</v>
      </c>
      <c r="U88" s="18" t="s">
        <v>98</v>
      </c>
      <c r="V88" s="19" t="s">
        <v>99</v>
      </c>
      <c r="W88" s="18" t="s">
        <v>100</v>
      </c>
      <c r="X88" s="18" t="s">
        <v>101</v>
      </c>
      <c r="Y88" s="18" t="s">
        <v>102</v>
      </c>
      <c r="Z88" s="18" t="s">
        <v>103</v>
      </c>
      <c r="AA88" s="17" t="s">
        <v>104</v>
      </c>
      <c r="AB88" s="16" t="s">
        <v>105</v>
      </c>
      <c r="AC88" s="10" t="s">
        <v>108</v>
      </c>
      <c r="AD88" s="10" t="s">
        <v>109</v>
      </c>
    </row>
    <row r="89" spans="1:30">
      <c r="A89" s="5"/>
      <c r="B89" s="6"/>
      <c r="C89" s="5"/>
      <c r="D89" s="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>
      <c r="A90" s="7" t="s">
        <v>120</v>
      </c>
    </row>
    <row r="92" spans="1:30">
      <c r="A92">
        <v>1</v>
      </c>
      <c r="B92" s="3" t="s">
        <v>121</v>
      </c>
    </row>
    <row r="93" spans="1:30">
      <c r="A93">
        <v>2</v>
      </c>
      <c r="B93" s="3" t="s">
        <v>122</v>
      </c>
    </row>
    <row r="94" spans="1:30">
      <c r="A94">
        <v>3</v>
      </c>
      <c r="B94" s="3" t="s">
        <v>123</v>
      </c>
    </row>
    <row r="95" spans="1:30">
      <c r="A95">
        <v>4</v>
      </c>
      <c r="B95" s="3" t="s">
        <v>124</v>
      </c>
    </row>
    <row r="98" spans="1:16">
      <c r="A98" s="1" t="s">
        <v>125</v>
      </c>
    </row>
    <row r="99" spans="1:16">
      <c r="A99" s="1" t="s">
        <v>126</v>
      </c>
    </row>
    <row r="100" spans="1:16">
      <c r="A100" s="1"/>
    </row>
    <row r="101" spans="1:16">
      <c r="A101" s="1" t="s">
        <v>3</v>
      </c>
      <c r="B101" s="2" t="s">
        <v>4</v>
      </c>
    </row>
    <row r="102" spans="1:16">
      <c r="A102" s="1" t="s">
        <v>7</v>
      </c>
    </row>
    <row r="103" spans="1:16">
      <c r="A103" s="1" t="s">
        <v>8</v>
      </c>
    </row>
    <row r="104" spans="1:16">
      <c r="A104" s="1" t="s">
        <v>116</v>
      </c>
      <c r="B104" s="2" t="s">
        <v>4</v>
      </c>
    </row>
    <row r="105" spans="1:16">
      <c r="A105" s="1" t="s">
        <v>111</v>
      </c>
      <c r="B105" s="2" t="s">
        <v>4</v>
      </c>
    </row>
    <row r="106" spans="1:16">
      <c r="A106" s="1" t="s">
        <v>127</v>
      </c>
    </row>
    <row r="107" spans="1:16">
      <c r="A107" s="1"/>
    </row>
    <row r="108" spans="1:16">
      <c r="A108" s="5" t="s">
        <v>128</v>
      </c>
      <c r="B108" s="6" t="s">
        <v>3</v>
      </c>
      <c r="C108" s="5" t="s">
        <v>129</v>
      </c>
      <c r="D108" s="6" t="s">
        <v>130</v>
      </c>
      <c r="E108" s="5" t="s">
        <v>131</v>
      </c>
      <c r="F108" s="5" t="s">
        <v>132</v>
      </c>
      <c r="G108" s="5" t="s">
        <v>133</v>
      </c>
      <c r="H108" s="5" t="s">
        <v>134</v>
      </c>
      <c r="I108" s="5" t="s">
        <v>135</v>
      </c>
      <c r="J108" s="5" t="s">
        <v>136</v>
      </c>
      <c r="K108" s="5" t="s">
        <v>137</v>
      </c>
      <c r="L108" s="5" t="s">
        <v>138</v>
      </c>
      <c r="M108" s="5" t="s">
        <v>136</v>
      </c>
      <c r="N108" s="5" t="s">
        <v>139</v>
      </c>
      <c r="O108" s="5"/>
      <c r="P108" s="5" t="s">
        <v>127</v>
      </c>
    </row>
    <row r="109" spans="1:16">
      <c r="A109" s="5"/>
      <c r="B109" s="6"/>
      <c r="C109" s="5"/>
      <c r="D109" s="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>
      <c r="A110" s="5"/>
      <c r="B110" s="6"/>
      <c r="C110" s="5"/>
      <c r="D110" s="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</sheetData>
  <conditionalFormatting sqref="D24">
    <cfRule type="duplicateValues" dxfId="17" priority="5"/>
    <cfRule type="duplicateValues" dxfId="16" priority="6"/>
  </conditionalFormatting>
  <conditionalFormatting sqref="D50">
    <cfRule type="duplicateValues" dxfId="15" priority="3"/>
    <cfRule type="duplicateValues" dxfId="14" priority="4"/>
  </conditionalFormatting>
  <conditionalFormatting sqref="D88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C0B13-2FE4-4BB3-A0B4-A1D4754D39C4}">
  <dimension ref="A1:BK141"/>
  <sheetViews>
    <sheetView tabSelected="1" topLeftCell="A132" workbookViewId="0">
      <selection activeCell="A136" sqref="A136"/>
    </sheetView>
  </sheetViews>
  <sheetFormatPr defaultRowHeight="14.45"/>
  <cols>
    <col min="1" max="1" width="17.5703125" customWidth="1"/>
    <col min="2" max="2" width="48" style="3" customWidth="1"/>
    <col min="3" max="3" width="43.5703125" style="3" customWidth="1"/>
    <col min="4" max="4" width="29.42578125" style="3" customWidth="1"/>
    <col min="5" max="5" width="9.85546875" bestFit="1" customWidth="1"/>
    <col min="6" max="6" width="15.140625" bestFit="1" customWidth="1"/>
    <col min="22" max="22" width="9.140625" bestFit="1" customWidth="1"/>
    <col min="25" max="25" width="14.85546875" bestFit="1" customWidth="1"/>
    <col min="26" max="26" width="9" bestFit="1" customWidth="1"/>
  </cols>
  <sheetData>
    <row r="1" spans="1:12">
      <c r="H1">
        <v>1</v>
      </c>
      <c r="I1" t="s">
        <v>140</v>
      </c>
      <c r="J1" t="s">
        <v>141</v>
      </c>
    </row>
    <row r="2" spans="1:12">
      <c r="A2" s="1">
        <v>1</v>
      </c>
      <c r="B2" s="2" t="s">
        <v>0</v>
      </c>
      <c r="H2">
        <v>2</v>
      </c>
      <c r="I2" t="s">
        <v>140</v>
      </c>
    </row>
    <row r="3" spans="1:12">
      <c r="H3">
        <v>3</v>
      </c>
      <c r="I3" t="s">
        <v>140</v>
      </c>
    </row>
    <row r="4" spans="1:12">
      <c r="A4" s="1">
        <v>1.1000000000000001</v>
      </c>
      <c r="B4" s="2" t="s">
        <v>1</v>
      </c>
      <c r="H4">
        <v>4</v>
      </c>
      <c r="I4" t="s">
        <v>140</v>
      </c>
    </row>
    <row r="5" spans="1:12">
      <c r="H5">
        <v>5</v>
      </c>
      <c r="I5" t="s">
        <v>140</v>
      </c>
    </row>
    <row r="6" spans="1:12">
      <c r="A6" s="1" t="s">
        <v>2</v>
      </c>
      <c r="H6">
        <v>6</v>
      </c>
      <c r="I6" t="s">
        <v>140</v>
      </c>
    </row>
    <row r="7" spans="1:12">
      <c r="A7" s="1" t="s">
        <v>3</v>
      </c>
      <c r="B7" s="3" t="s">
        <v>4</v>
      </c>
      <c r="C7" s="3" t="s">
        <v>5</v>
      </c>
      <c r="E7" t="s">
        <v>6</v>
      </c>
    </row>
    <row r="8" spans="1:12">
      <c r="A8" s="1" t="s">
        <v>7</v>
      </c>
      <c r="C8" s="3" t="s">
        <v>5</v>
      </c>
      <c r="E8" t="s">
        <v>6</v>
      </c>
    </row>
    <row r="9" spans="1:12">
      <c r="A9" s="1" t="s">
        <v>8</v>
      </c>
      <c r="B9" s="3" t="s">
        <v>4</v>
      </c>
      <c r="C9" s="3" t="s">
        <v>5</v>
      </c>
      <c r="E9" t="s">
        <v>6</v>
      </c>
      <c r="F9">
        <v>2026</v>
      </c>
      <c r="G9">
        <v>2027</v>
      </c>
    </row>
    <row r="10" spans="1:12">
      <c r="A10" s="1" t="s">
        <v>9</v>
      </c>
      <c r="B10" s="3" t="s">
        <v>142</v>
      </c>
    </row>
    <row r="11" spans="1:12">
      <c r="A11" s="1" t="s">
        <v>143</v>
      </c>
      <c r="B11" s="3" t="s">
        <v>144</v>
      </c>
      <c r="C11" s="3" t="s">
        <v>145</v>
      </c>
    </row>
    <row r="12" spans="1:12">
      <c r="E12" t="s">
        <v>146</v>
      </c>
      <c r="F12">
        <v>2025</v>
      </c>
      <c r="H12">
        <v>100</v>
      </c>
      <c r="I12" t="s">
        <v>147</v>
      </c>
      <c r="J12">
        <v>10</v>
      </c>
      <c r="K12">
        <f>H12*J12</f>
        <v>1000</v>
      </c>
      <c r="L12" s="20">
        <v>46138</v>
      </c>
    </row>
    <row r="13" spans="1:12" ht="29.1">
      <c r="A13" t="s">
        <v>11</v>
      </c>
      <c r="B13" s="3" t="s">
        <v>12</v>
      </c>
      <c r="E13" t="s">
        <v>148</v>
      </c>
      <c r="F13">
        <v>2025</v>
      </c>
    </row>
    <row r="14" spans="1:12" ht="29.1">
      <c r="A14" t="s">
        <v>13</v>
      </c>
      <c r="B14" s="3" t="s">
        <v>14</v>
      </c>
      <c r="C14" s="3" t="s">
        <v>149</v>
      </c>
      <c r="D14" s="3" t="s">
        <v>150</v>
      </c>
      <c r="H14" t="s">
        <v>3</v>
      </c>
      <c r="I14" t="s">
        <v>7</v>
      </c>
      <c r="J14" t="s">
        <v>151</v>
      </c>
      <c r="K14" t="s">
        <v>152</v>
      </c>
    </row>
    <row r="15" spans="1:12" ht="29.1">
      <c r="A15" t="s">
        <v>15</v>
      </c>
      <c r="B15" s="3" t="s">
        <v>16</v>
      </c>
    </row>
    <row r="16" spans="1:12">
      <c r="A16" t="s">
        <v>17</v>
      </c>
      <c r="B16" s="3" t="s">
        <v>18</v>
      </c>
      <c r="C16" s="3" t="s">
        <v>149</v>
      </c>
      <c r="D16" s="3" t="s">
        <v>150</v>
      </c>
    </row>
    <row r="17" spans="1:50">
      <c r="A17" t="s">
        <v>19</v>
      </c>
      <c r="B17" s="3" t="s">
        <v>20</v>
      </c>
    </row>
    <row r="18" spans="1:50">
      <c r="A18" t="s">
        <v>21</v>
      </c>
      <c r="B18" s="3" t="s">
        <v>22</v>
      </c>
      <c r="C18" s="3" t="s">
        <v>149</v>
      </c>
      <c r="D18" s="3" t="s">
        <v>150</v>
      </c>
    </row>
    <row r="21" spans="1:50">
      <c r="A21" s="1" t="s">
        <v>27</v>
      </c>
      <c r="C21"/>
    </row>
    <row r="22" spans="1:50">
      <c r="C22"/>
    </row>
    <row r="23" spans="1:50" ht="72">
      <c r="A23" s="10" t="s">
        <v>28</v>
      </c>
      <c r="B23" s="10" t="s">
        <v>29</v>
      </c>
      <c r="C23" s="10" t="s">
        <v>30</v>
      </c>
      <c r="D23" s="10" t="s">
        <v>31</v>
      </c>
      <c r="E23" s="10" t="s">
        <v>32</v>
      </c>
      <c r="F23" s="10" t="s">
        <v>33</v>
      </c>
      <c r="G23" s="10" t="s">
        <v>34</v>
      </c>
      <c r="H23" s="10" t="s">
        <v>35</v>
      </c>
      <c r="I23" s="10" t="s">
        <v>36</v>
      </c>
      <c r="J23" s="10" t="s">
        <v>37</v>
      </c>
      <c r="K23" s="10" t="s">
        <v>38</v>
      </c>
      <c r="L23" s="11" t="s">
        <v>39</v>
      </c>
      <c r="M23" s="10" t="s">
        <v>40</v>
      </c>
      <c r="N23" s="10" t="s">
        <v>41</v>
      </c>
      <c r="O23" s="10" t="s">
        <v>42</v>
      </c>
      <c r="P23" s="10" t="s">
        <v>43</v>
      </c>
      <c r="Q23" s="10" t="s">
        <v>44</v>
      </c>
      <c r="R23" s="10" t="s">
        <v>45</v>
      </c>
      <c r="S23" s="10" t="s">
        <v>46</v>
      </c>
      <c r="T23" s="10" t="s">
        <v>47</v>
      </c>
      <c r="U23" s="10" t="s">
        <v>48</v>
      </c>
      <c r="V23" s="10" t="s">
        <v>49</v>
      </c>
      <c r="W23" s="10" t="s">
        <v>50</v>
      </c>
      <c r="X23" s="10" t="s">
        <v>51</v>
      </c>
      <c r="Y23" s="10" t="s">
        <v>52</v>
      </c>
      <c r="Z23" s="10" t="s">
        <v>53</v>
      </c>
      <c r="AA23" s="10" t="s">
        <v>54</v>
      </c>
      <c r="AB23" s="10" t="s">
        <v>55</v>
      </c>
      <c r="AC23" s="10" t="s">
        <v>56</v>
      </c>
      <c r="AD23" s="10" t="s">
        <v>57</v>
      </c>
      <c r="AE23" s="10" t="s">
        <v>58</v>
      </c>
      <c r="AF23" s="10" t="s">
        <v>59</v>
      </c>
      <c r="AG23" s="10" t="s">
        <v>60</v>
      </c>
      <c r="AH23" s="10" t="s">
        <v>61</v>
      </c>
      <c r="AI23" s="10" t="s">
        <v>62</v>
      </c>
      <c r="AJ23" s="10" t="s">
        <v>63</v>
      </c>
      <c r="AK23" s="10" t="s">
        <v>64</v>
      </c>
      <c r="AL23" s="10" t="s">
        <v>65</v>
      </c>
      <c r="AM23" s="10" t="s">
        <v>66</v>
      </c>
      <c r="AN23" s="10" t="s">
        <v>67</v>
      </c>
      <c r="AO23" s="10" t="s">
        <v>68</v>
      </c>
      <c r="AP23" s="10" t="s">
        <v>69</v>
      </c>
      <c r="AQ23" s="10" t="s">
        <v>70</v>
      </c>
      <c r="AR23" s="10" t="s">
        <v>71</v>
      </c>
      <c r="AS23" s="10" t="s">
        <v>72</v>
      </c>
      <c r="AT23" s="10" t="s">
        <v>73</v>
      </c>
      <c r="AU23" s="10" t="s">
        <v>74</v>
      </c>
      <c r="AV23" s="10" t="s">
        <v>75</v>
      </c>
      <c r="AW23" s="10" t="s">
        <v>76</v>
      </c>
      <c r="AX23" s="10" t="s">
        <v>77</v>
      </c>
    </row>
    <row r="24" spans="1:50">
      <c r="A24" s="5"/>
      <c r="B24" s="6"/>
      <c r="C24" s="5"/>
      <c r="D24" s="6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4"/>
      <c r="Y24" s="4"/>
      <c r="Z24" s="4"/>
    </row>
    <row r="25" spans="1:50">
      <c r="A25" s="5"/>
      <c r="B25" s="6"/>
      <c r="C25" s="5"/>
      <c r="D25" s="6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4"/>
      <c r="Y25" s="4"/>
      <c r="Z25" s="4"/>
    </row>
    <row r="26" spans="1:50">
      <c r="A26" s="5"/>
      <c r="B26" s="6"/>
      <c r="C26" s="5"/>
      <c r="D26" s="6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4"/>
      <c r="Y26" s="4"/>
      <c r="Z26" s="4"/>
    </row>
    <row r="27" spans="1:50">
      <c r="A27" s="5"/>
      <c r="B27" s="6"/>
      <c r="C27" s="6"/>
      <c r="D27" s="6"/>
      <c r="E27" s="5"/>
      <c r="F27" s="5"/>
      <c r="G27" s="5"/>
      <c r="H27" s="5"/>
      <c r="I27" s="5"/>
      <c r="J27" s="5"/>
      <c r="K27" s="22">
        <v>69840</v>
      </c>
      <c r="L27" s="22">
        <v>50040</v>
      </c>
      <c r="M27" s="22">
        <v>48600</v>
      </c>
      <c r="N27" s="22">
        <v>52200</v>
      </c>
      <c r="O27" s="22">
        <v>38880</v>
      </c>
      <c r="P27" s="22">
        <v>22320</v>
      </c>
      <c r="Q27" s="22">
        <v>20520</v>
      </c>
      <c r="R27" s="22">
        <v>38520</v>
      </c>
      <c r="S27" s="22">
        <v>38160</v>
      </c>
      <c r="T27" s="22">
        <v>44640</v>
      </c>
      <c r="U27" s="22">
        <v>55080</v>
      </c>
      <c r="V27" s="22">
        <v>46440</v>
      </c>
      <c r="W27" s="23">
        <f t="shared" ref="W27:W29" si="0">SUM(K27:V27)</f>
        <v>525240</v>
      </c>
      <c r="X27" s="22" t="s">
        <v>15</v>
      </c>
      <c r="Y27" s="24">
        <v>1.2</v>
      </c>
      <c r="Z27" s="23">
        <f t="shared" ref="Z27:Z29" si="1">W27*Y27</f>
        <v>630288</v>
      </c>
      <c r="AA27" s="22">
        <f t="shared" ref="AA27:AA29" si="2">(K27/W27)*Z27</f>
        <v>83808</v>
      </c>
      <c r="AB27" s="22">
        <v>136188</v>
      </c>
      <c r="AC27" s="22">
        <v>58320</v>
      </c>
      <c r="AD27" s="22">
        <v>62640</v>
      </c>
      <c r="AE27" s="22">
        <v>46656</v>
      </c>
      <c r="AF27" s="22">
        <v>26784</v>
      </c>
      <c r="AG27" s="22">
        <v>24624</v>
      </c>
      <c r="AH27" s="22">
        <v>46224</v>
      </c>
      <c r="AI27" s="22">
        <v>45792</v>
      </c>
      <c r="AJ27" s="22">
        <v>53568</v>
      </c>
      <c r="AK27" s="22">
        <v>66096</v>
      </c>
      <c r="AL27" s="22">
        <v>55728</v>
      </c>
    </row>
    <row r="28" spans="1:50">
      <c r="A28" s="5"/>
      <c r="B28" s="6"/>
      <c r="C28" s="6"/>
      <c r="D28" s="6"/>
      <c r="E28" s="5"/>
      <c r="F28" s="5"/>
      <c r="G28" s="5"/>
      <c r="H28" s="5"/>
      <c r="I28" s="5"/>
      <c r="J28" s="5"/>
      <c r="K28" s="22">
        <v>1440</v>
      </c>
      <c r="L28" s="22">
        <v>1800</v>
      </c>
      <c r="M28" s="22">
        <v>4680</v>
      </c>
      <c r="N28" s="22">
        <v>8640</v>
      </c>
      <c r="O28" s="22">
        <v>1440</v>
      </c>
      <c r="P28" s="22">
        <v>1440</v>
      </c>
      <c r="Q28" s="22">
        <v>3600</v>
      </c>
      <c r="R28" s="22">
        <v>2880</v>
      </c>
      <c r="S28" s="22">
        <v>720</v>
      </c>
      <c r="T28" s="22">
        <v>1800</v>
      </c>
      <c r="U28" s="22">
        <v>720</v>
      </c>
      <c r="V28" s="22">
        <v>2520</v>
      </c>
      <c r="W28" s="23">
        <f t="shared" si="0"/>
        <v>31680</v>
      </c>
      <c r="X28" s="22" t="s">
        <v>17</v>
      </c>
      <c r="Y28" s="24">
        <v>1.1000000000000001</v>
      </c>
      <c r="Z28" s="23">
        <f t="shared" si="1"/>
        <v>34848</v>
      </c>
      <c r="AA28" s="22">
        <f t="shared" si="2"/>
        <v>1584</v>
      </c>
      <c r="AB28" s="22">
        <v>136188</v>
      </c>
      <c r="AC28" s="22">
        <v>5148</v>
      </c>
      <c r="AD28" s="22">
        <v>9504</v>
      </c>
      <c r="AE28" s="22">
        <v>1584</v>
      </c>
      <c r="AF28" s="22">
        <v>1584</v>
      </c>
      <c r="AG28" s="22">
        <v>3960</v>
      </c>
      <c r="AH28" s="22">
        <v>3168</v>
      </c>
      <c r="AI28" s="22">
        <v>792</v>
      </c>
      <c r="AJ28" s="22">
        <v>1980</v>
      </c>
      <c r="AK28" s="22">
        <v>792</v>
      </c>
      <c r="AL28" s="22">
        <v>2772</v>
      </c>
    </row>
    <row r="29" spans="1:50">
      <c r="A29" s="5"/>
      <c r="B29" s="6"/>
      <c r="C29" s="6"/>
      <c r="D29" s="6"/>
      <c r="E29" s="5"/>
      <c r="F29" s="5"/>
      <c r="G29" s="5"/>
      <c r="H29" s="5"/>
      <c r="I29" s="5"/>
      <c r="J29" s="5"/>
      <c r="K29" s="22">
        <v>3240</v>
      </c>
      <c r="L29" s="22">
        <v>7200</v>
      </c>
      <c r="M29" s="22">
        <v>9000</v>
      </c>
      <c r="N29" s="22">
        <v>4680</v>
      </c>
      <c r="O29" s="22">
        <v>4680</v>
      </c>
      <c r="P29" s="22">
        <v>2160</v>
      </c>
      <c r="Q29" s="22">
        <v>1800</v>
      </c>
      <c r="R29" s="22">
        <v>3600</v>
      </c>
      <c r="S29" s="22">
        <v>3600</v>
      </c>
      <c r="T29" s="22">
        <v>3600</v>
      </c>
      <c r="U29" s="22">
        <v>5760</v>
      </c>
      <c r="V29" s="22">
        <v>2160</v>
      </c>
      <c r="W29" s="23">
        <f t="shared" si="0"/>
        <v>51480</v>
      </c>
      <c r="X29" s="22" t="s">
        <v>19</v>
      </c>
      <c r="Y29" s="24">
        <v>1</v>
      </c>
      <c r="Z29" s="23">
        <f t="shared" si="1"/>
        <v>51480</v>
      </c>
      <c r="AA29" s="22">
        <f t="shared" si="2"/>
        <v>3240.0000000000005</v>
      </c>
      <c r="AB29" s="22">
        <v>136188</v>
      </c>
      <c r="AC29" s="22">
        <v>9000</v>
      </c>
      <c r="AD29" s="22">
        <v>4680</v>
      </c>
      <c r="AE29" s="22">
        <v>4680</v>
      </c>
      <c r="AF29" s="22">
        <v>2160</v>
      </c>
      <c r="AG29" s="22">
        <v>1800.0000000000002</v>
      </c>
      <c r="AH29" s="22">
        <v>3600.0000000000005</v>
      </c>
      <c r="AI29" s="22">
        <v>3600.0000000000005</v>
      </c>
      <c r="AJ29" s="22">
        <v>3600.0000000000005</v>
      </c>
      <c r="AK29" s="22">
        <v>5760</v>
      </c>
      <c r="AL29" s="22">
        <v>2160</v>
      </c>
    </row>
    <row r="30" spans="1:50">
      <c r="X30" s="1"/>
      <c r="Y30" s="1"/>
      <c r="Z30" s="1"/>
    </row>
    <row r="31" spans="1:50">
      <c r="A31" t="s">
        <v>153</v>
      </c>
      <c r="X31" s="1"/>
      <c r="Y31" s="1"/>
      <c r="Z31" s="1"/>
    </row>
    <row r="32" spans="1:50">
      <c r="A32" s="1">
        <v>1</v>
      </c>
      <c r="B32" s="2" t="s">
        <v>154</v>
      </c>
      <c r="X32" s="1"/>
      <c r="Y32" s="1"/>
      <c r="Z32" s="1"/>
    </row>
    <row r="33" spans="1:26">
      <c r="X33" s="1"/>
      <c r="Y33" s="1"/>
      <c r="Z33" s="1"/>
    </row>
    <row r="34" spans="1:26">
      <c r="A34" s="1" t="s">
        <v>155</v>
      </c>
      <c r="X34" s="1"/>
      <c r="Y34" s="1"/>
      <c r="Z34" s="1"/>
    </row>
    <row r="35" spans="1:26">
      <c r="A35" t="s">
        <v>3</v>
      </c>
      <c r="X35" s="1"/>
      <c r="Y35" s="1"/>
      <c r="Z35" s="1"/>
    </row>
    <row r="36" spans="1:26">
      <c r="A36" t="s">
        <v>7</v>
      </c>
      <c r="X36" s="1"/>
      <c r="Y36" s="1"/>
      <c r="Z36" s="1"/>
    </row>
    <row r="37" spans="1:26">
      <c r="A37" t="s">
        <v>156</v>
      </c>
      <c r="X37" s="1"/>
      <c r="Y37" s="1"/>
      <c r="Z37" s="1"/>
    </row>
    <row r="38" spans="1:26">
      <c r="A38" t="s">
        <v>157</v>
      </c>
    </row>
    <row r="39" spans="1:26">
      <c r="A39" t="s">
        <v>158</v>
      </c>
    </row>
    <row r="43" spans="1:26">
      <c r="A43" s="1">
        <v>1.1000000000000001</v>
      </c>
      <c r="B43" s="2" t="s">
        <v>159</v>
      </c>
    </row>
    <row r="44" spans="1:26">
      <c r="A44" s="1" t="s">
        <v>3</v>
      </c>
      <c r="B44" s="2" t="s">
        <v>7</v>
      </c>
      <c r="C44" s="2" t="s">
        <v>156</v>
      </c>
      <c r="D44" s="2" t="s">
        <v>157</v>
      </c>
      <c r="E44" s="1" t="s">
        <v>158</v>
      </c>
    </row>
    <row r="45" spans="1:26">
      <c r="A45" s="1"/>
      <c r="B45" s="2"/>
    </row>
    <row r="46" spans="1:26" ht="29.1">
      <c r="A46" s="1" t="s">
        <v>160</v>
      </c>
      <c r="B46" s="3" t="s">
        <v>161</v>
      </c>
    </row>
    <row r="47" spans="1:26" ht="43.5">
      <c r="A47" s="1"/>
      <c r="B47" s="3" t="s">
        <v>162</v>
      </c>
    </row>
    <row r="48" spans="1:26">
      <c r="A48" s="1"/>
    </row>
    <row r="49" spans="1:4">
      <c r="A49" s="1"/>
    </row>
    <row r="50" spans="1:4">
      <c r="A50" s="1">
        <v>2</v>
      </c>
      <c r="B50" s="2" t="s">
        <v>163</v>
      </c>
    </row>
    <row r="51" spans="1:4">
      <c r="A51" s="1"/>
    </row>
    <row r="52" spans="1:4">
      <c r="A52" s="1" t="s">
        <v>155</v>
      </c>
    </row>
    <row r="53" spans="1:4">
      <c r="A53" t="s">
        <v>3</v>
      </c>
    </row>
    <row r="54" spans="1:4">
      <c r="A54" t="s">
        <v>164</v>
      </c>
    </row>
    <row r="55" spans="1:4">
      <c r="A55" t="s">
        <v>165</v>
      </c>
    </row>
    <row r="56" spans="1:4">
      <c r="A56" t="s">
        <v>166</v>
      </c>
    </row>
    <row r="57" spans="1:4">
      <c r="A57" s="1"/>
    </row>
    <row r="58" spans="1:4">
      <c r="A58" s="1">
        <v>2.1</v>
      </c>
      <c r="B58" s="2" t="s">
        <v>159</v>
      </c>
    </row>
    <row r="59" spans="1:4">
      <c r="A59" s="1" t="s">
        <v>167</v>
      </c>
      <c r="B59" s="2" t="s">
        <v>168</v>
      </c>
      <c r="C59" s="2" t="s">
        <v>169</v>
      </c>
      <c r="D59" s="2" t="s">
        <v>170</v>
      </c>
    </row>
    <row r="61" spans="1:4" ht="29.1">
      <c r="A61" s="1" t="s">
        <v>160</v>
      </c>
      <c r="B61" s="3" t="s">
        <v>161</v>
      </c>
    </row>
    <row r="62" spans="1:4" ht="43.5">
      <c r="A62" s="1"/>
      <c r="B62" s="3" t="s">
        <v>162</v>
      </c>
    </row>
    <row r="64" spans="1:4">
      <c r="A64" s="1">
        <v>3</v>
      </c>
      <c r="B64" s="2" t="s">
        <v>171</v>
      </c>
    </row>
    <row r="66" spans="1:63">
      <c r="A66" t="s">
        <v>3</v>
      </c>
    </row>
    <row r="67" spans="1:63">
      <c r="A67" t="s">
        <v>7</v>
      </c>
    </row>
    <row r="69" spans="1:63">
      <c r="A69" s="1">
        <v>3.1</v>
      </c>
      <c r="B69" s="2" t="s">
        <v>159</v>
      </c>
    </row>
    <row r="70" spans="1:63">
      <c r="A70" s="1" t="s">
        <v>167</v>
      </c>
      <c r="B70" s="2" t="s">
        <v>172</v>
      </c>
      <c r="C70" s="2" t="s">
        <v>30</v>
      </c>
      <c r="D70" s="2" t="s">
        <v>173</v>
      </c>
    </row>
    <row r="73" spans="1:63">
      <c r="A73" s="1" t="s">
        <v>174</v>
      </c>
    </row>
    <row r="75" spans="1:63" ht="72">
      <c r="A75" s="46" t="s">
        <v>28</v>
      </c>
      <c r="B75" s="10" t="s">
        <v>29</v>
      </c>
      <c r="C75" s="10" t="s">
        <v>30</v>
      </c>
      <c r="D75" s="46" t="s">
        <v>31</v>
      </c>
      <c r="E75" s="46" t="s">
        <v>32</v>
      </c>
      <c r="F75" s="46" t="s">
        <v>33</v>
      </c>
      <c r="G75" s="46" t="s">
        <v>34</v>
      </c>
      <c r="H75" s="46" t="s">
        <v>35</v>
      </c>
      <c r="I75" s="46" t="s">
        <v>36</v>
      </c>
      <c r="J75" s="46" t="s">
        <v>37</v>
      </c>
      <c r="K75" s="10" t="s">
        <v>38</v>
      </c>
      <c r="L75" s="47" t="s">
        <v>175</v>
      </c>
      <c r="M75" s="10" t="s">
        <v>40</v>
      </c>
      <c r="N75" s="46" t="s">
        <v>41</v>
      </c>
      <c r="O75" s="46" t="s">
        <v>42</v>
      </c>
      <c r="P75" s="46" t="s">
        <v>43</v>
      </c>
      <c r="Q75" s="46" t="s">
        <v>44</v>
      </c>
      <c r="R75" s="46" t="s">
        <v>45</v>
      </c>
      <c r="S75" s="46" t="s">
        <v>46</v>
      </c>
      <c r="T75" s="46" t="s">
        <v>47</v>
      </c>
      <c r="U75" s="46" t="s">
        <v>48</v>
      </c>
      <c r="V75" s="46" t="s">
        <v>49</v>
      </c>
      <c r="W75" s="46" t="s">
        <v>50</v>
      </c>
      <c r="X75" s="46" t="s">
        <v>51</v>
      </c>
      <c r="Y75" s="46" t="s">
        <v>52</v>
      </c>
      <c r="Z75" s="10" t="s">
        <v>53</v>
      </c>
      <c r="AA75" s="10" t="s">
        <v>54</v>
      </c>
      <c r="AB75" s="10" t="s">
        <v>55</v>
      </c>
      <c r="AC75" s="10" t="s">
        <v>56</v>
      </c>
      <c r="AD75" s="10" t="s">
        <v>57</v>
      </c>
      <c r="AE75" s="10" t="s">
        <v>58</v>
      </c>
      <c r="AF75" s="10" t="s">
        <v>59</v>
      </c>
      <c r="AG75" s="10" t="s">
        <v>60</v>
      </c>
      <c r="AH75" s="10" t="s">
        <v>61</v>
      </c>
      <c r="AI75" s="10" t="s">
        <v>62</v>
      </c>
      <c r="AJ75" s="10" t="s">
        <v>63</v>
      </c>
      <c r="AK75" s="10" t="s">
        <v>64</v>
      </c>
      <c r="AL75" s="10" t="s">
        <v>65</v>
      </c>
      <c r="AM75" s="10" t="s">
        <v>66</v>
      </c>
      <c r="AN75" s="10" t="s">
        <v>67</v>
      </c>
      <c r="AO75" s="10" t="s">
        <v>68</v>
      </c>
      <c r="AP75" s="10" t="s">
        <v>69</v>
      </c>
      <c r="AQ75" s="10" t="s">
        <v>70</v>
      </c>
      <c r="AR75" s="10" t="s">
        <v>71</v>
      </c>
      <c r="AS75" s="10" t="s">
        <v>72</v>
      </c>
      <c r="AT75" s="10" t="s">
        <v>73</v>
      </c>
      <c r="AU75" s="10" t="s">
        <v>74</v>
      </c>
      <c r="AV75" s="10" t="s">
        <v>75</v>
      </c>
      <c r="AW75" s="10" t="s">
        <v>76</v>
      </c>
      <c r="AX75" s="10" t="s">
        <v>77</v>
      </c>
      <c r="AY75" s="10" t="s">
        <v>176</v>
      </c>
      <c r="AZ75" s="10" t="s">
        <v>177</v>
      </c>
      <c r="BA75" s="10" t="s">
        <v>178</v>
      </c>
      <c r="BB75" s="10" t="s">
        <v>179</v>
      </c>
      <c r="BC75" s="10" t="s">
        <v>180</v>
      </c>
      <c r="BD75" s="10" t="s">
        <v>181</v>
      </c>
      <c r="BE75" s="10" t="s">
        <v>182</v>
      </c>
      <c r="BF75" s="10" t="s">
        <v>183</v>
      </c>
      <c r="BG75" s="10" t="s">
        <v>184</v>
      </c>
      <c r="BH75" s="10" t="s">
        <v>185</v>
      </c>
      <c r="BI75" s="10" t="s">
        <v>186</v>
      </c>
      <c r="BJ75" s="10" t="s">
        <v>187</v>
      </c>
      <c r="BK75" s="10" t="s">
        <v>188</v>
      </c>
    </row>
    <row r="76" spans="1:63">
      <c r="A76" s="48"/>
      <c r="B76" s="49"/>
      <c r="C76" s="48"/>
      <c r="D76" s="49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50"/>
      <c r="Y76" s="50"/>
      <c r="Z76" s="50"/>
    </row>
    <row r="77" spans="1:63">
      <c r="A77" s="5"/>
      <c r="B77" s="6"/>
      <c r="C77" s="5"/>
      <c r="D77" s="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4"/>
      <c r="Y77" s="4"/>
      <c r="Z77" s="4"/>
    </row>
    <row r="78" spans="1:63">
      <c r="A78" s="5"/>
      <c r="B78" s="6"/>
      <c r="C78" s="5"/>
      <c r="D78" s="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4"/>
      <c r="Y78" s="4"/>
      <c r="Z78" s="4"/>
    </row>
    <row r="79" spans="1:63">
      <c r="A79" s="5"/>
      <c r="B79" s="6"/>
      <c r="C79" s="6"/>
      <c r="D79" s="6"/>
      <c r="E79" s="5"/>
      <c r="F79" s="5"/>
      <c r="G79" s="5"/>
      <c r="H79" s="5"/>
      <c r="I79" s="5"/>
      <c r="J79" s="5"/>
      <c r="K79" s="22">
        <v>1440</v>
      </c>
      <c r="L79" s="22">
        <v>1800</v>
      </c>
      <c r="M79" s="22">
        <v>4680</v>
      </c>
      <c r="N79" s="22">
        <v>8640</v>
      </c>
      <c r="O79" s="22">
        <v>1440</v>
      </c>
      <c r="P79" s="22">
        <v>1440</v>
      </c>
      <c r="Q79" s="22">
        <v>3600</v>
      </c>
      <c r="R79" s="22">
        <v>2880</v>
      </c>
      <c r="S79" s="22">
        <v>720</v>
      </c>
      <c r="T79" s="22">
        <v>1800</v>
      </c>
      <c r="U79" s="22">
        <v>720</v>
      </c>
      <c r="V79" s="22">
        <v>2520</v>
      </c>
      <c r="W79" s="23">
        <f>SUM(K79:V79)</f>
        <v>31680</v>
      </c>
      <c r="X79" s="22" t="s">
        <v>17</v>
      </c>
      <c r="Y79" s="24">
        <v>1.1000000000000001</v>
      </c>
      <c r="Z79" s="23">
        <f t="shared" ref="Z79:Z80" si="3">W79*Y79</f>
        <v>34848</v>
      </c>
      <c r="AA79" s="22">
        <f t="shared" ref="AA79:AA80" si="4">(K79/W79)*Z79</f>
        <v>1584</v>
      </c>
      <c r="AB79" s="22">
        <v>136188</v>
      </c>
      <c r="AC79" s="22">
        <v>5148</v>
      </c>
      <c r="AD79" s="22">
        <v>9504</v>
      </c>
      <c r="AE79" s="22">
        <v>1584</v>
      </c>
      <c r="AF79" s="22">
        <v>1584</v>
      </c>
      <c r="AG79" s="22">
        <v>3960</v>
      </c>
      <c r="AH79" s="22">
        <v>3168</v>
      </c>
      <c r="AI79" s="22">
        <v>792</v>
      </c>
      <c r="AJ79" s="22">
        <v>1980</v>
      </c>
      <c r="AK79" s="22">
        <v>792</v>
      </c>
      <c r="AL79" s="22">
        <v>2772</v>
      </c>
    </row>
    <row r="80" spans="1:63">
      <c r="A80" s="5"/>
      <c r="B80" s="6"/>
      <c r="C80" s="6"/>
      <c r="D80" s="6"/>
      <c r="E80" s="5"/>
      <c r="F80" s="5"/>
      <c r="G80" s="5"/>
      <c r="H80" s="5"/>
      <c r="I80" s="5"/>
      <c r="J80" s="5"/>
      <c r="K80" s="22">
        <v>3240</v>
      </c>
      <c r="L80" s="22">
        <v>7200</v>
      </c>
      <c r="M80" s="22">
        <v>9000</v>
      </c>
      <c r="N80" s="22">
        <v>4680</v>
      </c>
      <c r="O80" s="22">
        <v>4680</v>
      </c>
      <c r="P80" s="22">
        <v>2160</v>
      </c>
      <c r="Q80" s="22">
        <v>1800</v>
      </c>
      <c r="R80" s="22">
        <v>3600</v>
      </c>
      <c r="S80" s="22">
        <v>3600</v>
      </c>
      <c r="T80" s="22">
        <v>3600</v>
      </c>
      <c r="U80" s="22">
        <v>5760</v>
      </c>
      <c r="V80" s="22">
        <v>2160</v>
      </c>
      <c r="W80" s="23">
        <f t="shared" ref="W80" si="5">SUM(K80:V80)</f>
        <v>51480</v>
      </c>
      <c r="X80" s="22" t="s">
        <v>19</v>
      </c>
      <c r="Y80" s="24">
        <v>1</v>
      </c>
      <c r="Z80" s="23">
        <f t="shared" si="3"/>
        <v>51480</v>
      </c>
      <c r="AA80" s="22">
        <f t="shared" si="4"/>
        <v>3240.0000000000005</v>
      </c>
      <c r="AB80" s="22">
        <v>136188</v>
      </c>
      <c r="AC80" s="22">
        <v>9000</v>
      </c>
      <c r="AD80" s="22">
        <v>4680</v>
      </c>
      <c r="AE80" s="22">
        <v>4680</v>
      </c>
      <c r="AF80" s="22">
        <v>2160</v>
      </c>
      <c r="AG80" s="22">
        <v>1800.0000000000002</v>
      </c>
      <c r="AH80" s="22">
        <v>3600.0000000000005</v>
      </c>
      <c r="AI80" s="22">
        <v>3600.0000000000005</v>
      </c>
      <c r="AJ80" s="22">
        <v>3600.0000000000005</v>
      </c>
      <c r="AK80" s="22">
        <v>5760</v>
      </c>
      <c r="AL80" s="22">
        <v>2160</v>
      </c>
    </row>
    <row r="83" spans="1:9">
      <c r="A83" s="1" t="s">
        <v>189</v>
      </c>
    </row>
    <row r="84" spans="1:9">
      <c r="A84" t="s">
        <v>190</v>
      </c>
      <c r="B84" s="3" t="s">
        <v>191</v>
      </c>
    </row>
    <row r="85" spans="1:9" ht="29.1">
      <c r="A85" s="29" t="s">
        <v>30</v>
      </c>
      <c r="B85" s="3" t="s">
        <v>192</v>
      </c>
    </row>
    <row r="86" spans="1:9" ht="29.1">
      <c r="A86" s="29" t="s">
        <v>193</v>
      </c>
      <c r="B86" s="3" t="s">
        <v>194</v>
      </c>
      <c r="E86" s="3"/>
      <c r="F86" s="3"/>
      <c r="G86" s="3"/>
      <c r="H86" s="3"/>
      <c r="I86" s="3"/>
    </row>
    <row r="87" spans="1:9">
      <c r="A87" s="29" t="s">
        <v>37</v>
      </c>
      <c r="B87" s="3" t="s">
        <v>195</v>
      </c>
      <c r="D87" s="3" t="s">
        <v>196</v>
      </c>
      <c r="E87" s="3" t="s">
        <v>197</v>
      </c>
      <c r="F87" s="3" t="s">
        <v>198</v>
      </c>
      <c r="G87" s="3" t="s">
        <v>199</v>
      </c>
    </row>
    <row r="88" spans="1:9" ht="57.95">
      <c r="A88" s="29" t="s">
        <v>38</v>
      </c>
      <c r="B88" s="3" t="s">
        <v>200</v>
      </c>
      <c r="F88" s="3" t="s">
        <v>201</v>
      </c>
      <c r="G88" s="3" t="s">
        <v>202</v>
      </c>
    </row>
    <row r="89" spans="1:9">
      <c r="A89" s="29" t="s">
        <v>176</v>
      </c>
      <c r="B89" s="3" t="s">
        <v>203</v>
      </c>
      <c r="F89" s="3"/>
      <c r="G89" s="3"/>
    </row>
    <row r="90" spans="1:9" ht="43.5">
      <c r="A90" s="30" t="s">
        <v>39</v>
      </c>
      <c r="B90" s="44" t="s">
        <v>204</v>
      </c>
      <c r="E90" s="3" t="s">
        <v>197</v>
      </c>
      <c r="F90" s="3" t="s">
        <v>198</v>
      </c>
      <c r="G90" s="3" t="s">
        <v>199</v>
      </c>
    </row>
    <row r="91" spans="1:9" ht="29.1">
      <c r="A91" s="29" t="s">
        <v>40</v>
      </c>
      <c r="B91" s="3" t="s">
        <v>205</v>
      </c>
      <c r="F91" s="3" t="s">
        <v>201</v>
      </c>
      <c r="G91" s="3" t="s">
        <v>202</v>
      </c>
    </row>
    <row r="92" spans="1:9" ht="60">
      <c r="A92" s="29" t="s">
        <v>53</v>
      </c>
      <c r="B92" s="31" t="s">
        <v>206</v>
      </c>
    </row>
    <row r="93" spans="1:9" ht="60">
      <c r="A93" s="29" t="s">
        <v>54</v>
      </c>
      <c r="B93" s="31" t="s">
        <v>206</v>
      </c>
    </row>
    <row r="94" spans="1:9" ht="60">
      <c r="A94" s="29" t="s">
        <v>55</v>
      </c>
      <c r="B94" s="31" t="s">
        <v>206</v>
      </c>
    </row>
    <row r="95" spans="1:9" ht="60">
      <c r="A95" s="29" t="s">
        <v>56</v>
      </c>
      <c r="B95" s="31" t="s">
        <v>206</v>
      </c>
    </row>
    <row r="96" spans="1:9" ht="60">
      <c r="A96" s="29" t="s">
        <v>57</v>
      </c>
      <c r="B96" s="31" t="s">
        <v>206</v>
      </c>
    </row>
    <row r="97" spans="1:2" ht="60">
      <c r="A97" s="29" t="s">
        <v>58</v>
      </c>
      <c r="B97" s="31" t="s">
        <v>206</v>
      </c>
    </row>
    <row r="98" spans="1:2" ht="60">
      <c r="A98" s="29" t="s">
        <v>59</v>
      </c>
      <c r="B98" s="31" t="s">
        <v>206</v>
      </c>
    </row>
    <row r="99" spans="1:2" ht="60">
      <c r="A99" s="29" t="s">
        <v>60</v>
      </c>
      <c r="B99" s="31" t="s">
        <v>206</v>
      </c>
    </row>
    <row r="100" spans="1:2" ht="60">
      <c r="A100" s="29" t="s">
        <v>61</v>
      </c>
      <c r="B100" s="31" t="s">
        <v>206</v>
      </c>
    </row>
    <row r="101" spans="1:2" ht="60">
      <c r="A101" s="29" t="s">
        <v>62</v>
      </c>
      <c r="B101" s="31" t="s">
        <v>206</v>
      </c>
    </row>
    <row r="102" spans="1:2" ht="60">
      <c r="A102" s="29" t="s">
        <v>63</v>
      </c>
      <c r="B102" s="31" t="s">
        <v>206</v>
      </c>
    </row>
    <row r="103" spans="1:2" ht="60">
      <c r="A103" s="29" t="s">
        <v>64</v>
      </c>
      <c r="B103" s="31" t="s">
        <v>206</v>
      </c>
    </row>
    <row r="104" spans="1:2" ht="60">
      <c r="A104" s="29" t="s">
        <v>65</v>
      </c>
      <c r="B104" s="3" t="s">
        <v>207</v>
      </c>
    </row>
    <row r="105" spans="1:2" ht="60">
      <c r="A105" s="29" t="s">
        <v>66</v>
      </c>
      <c r="B105" s="3" t="s">
        <v>207</v>
      </c>
    </row>
    <row r="106" spans="1:2" ht="60">
      <c r="A106" s="29" t="s">
        <v>67</v>
      </c>
      <c r="B106" s="3" t="s">
        <v>207</v>
      </c>
    </row>
    <row r="107" spans="1:2" ht="60">
      <c r="A107" s="29" t="s">
        <v>68</v>
      </c>
      <c r="B107" s="3" t="s">
        <v>207</v>
      </c>
    </row>
    <row r="108" spans="1:2" ht="60">
      <c r="A108" s="29" t="s">
        <v>69</v>
      </c>
      <c r="B108" s="3" t="s">
        <v>207</v>
      </c>
    </row>
    <row r="109" spans="1:2" ht="60">
      <c r="A109" s="29" t="s">
        <v>70</v>
      </c>
      <c r="B109" s="3" t="s">
        <v>207</v>
      </c>
    </row>
    <row r="110" spans="1:2" ht="60">
      <c r="A110" s="29" t="s">
        <v>71</v>
      </c>
      <c r="B110" s="3" t="s">
        <v>207</v>
      </c>
    </row>
    <row r="111" spans="1:2" ht="60">
      <c r="A111" s="29" t="s">
        <v>72</v>
      </c>
      <c r="B111" s="3" t="s">
        <v>207</v>
      </c>
    </row>
    <row r="112" spans="1:2" ht="60">
      <c r="A112" s="29" t="s">
        <v>73</v>
      </c>
      <c r="B112" s="3" t="s">
        <v>207</v>
      </c>
    </row>
    <row r="113" spans="1:47" ht="60">
      <c r="A113" s="29" t="s">
        <v>74</v>
      </c>
      <c r="B113" s="3" t="s">
        <v>207</v>
      </c>
    </row>
    <row r="114" spans="1:47" ht="60">
      <c r="A114" s="29" t="s">
        <v>75</v>
      </c>
      <c r="B114" s="3" t="s">
        <v>207</v>
      </c>
    </row>
    <row r="115" spans="1:47" ht="60">
      <c r="A115" s="29" t="s">
        <v>76</v>
      </c>
      <c r="B115" s="3" t="s">
        <v>207</v>
      </c>
    </row>
    <row r="116" spans="1:47" ht="48">
      <c r="A116" s="29" t="s">
        <v>77</v>
      </c>
      <c r="B116" s="3" t="s">
        <v>207</v>
      </c>
    </row>
    <row r="118" spans="1:47" ht="48">
      <c r="A118" s="32" t="s">
        <v>208</v>
      </c>
    </row>
    <row r="120" spans="1:47">
      <c r="A120" s="32" t="s">
        <v>209</v>
      </c>
      <c r="B120" t="s">
        <v>210</v>
      </c>
    </row>
    <row r="123" spans="1:47">
      <c r="A123" s="1" t="s">
        <v>111</v>
      </c>
    </row>
    <row r="125" spans="1:47" ht="51.95">
      <c r="A125" s="10" t="s">
        <v>28</v>
      </c>
      <c r="B125" s="10" t="s">
        <v>29</v>
      </c>
      <c r="C125" s="10" t="s">
        <v>30</v>
      </c>
      <c r="D125" s="10" t="s">
        <v>31</v>
      </c>
      <c r="E125" s="10" t="s">
        <v>32</v>
      </c>
      <c r="F125" s="10" t="s">
        <v>33</v>
      </c>
      <c r="G125" s="10" t="s">
        <v>34</v>
      </c>
      <c r="H125" s="10" t="s">
        <v>35</v>
      </c>
      <c r="I125" s="10" t="s">
        <v>36</v>
      </c>
      <c r="J125" s="10" t="s">
        <v>37</v>
      </c>
      <c r="K125" s="10" t="s">
        <v>38</v>
      </c>
      <c r="L125" s="11" t="s">
        <v>211</v>
      </c>
      <c r="M125" s="10" t="s">
        <v>40</v>
      </c>
      <c r="N125" s="16" t="s">
        <v>91</v>
      </c>
      <c r="O125" s="16" t="s">
        <v>92</v>
      </c>
      <c r="P125" s="16" t="s">
        <v>93</v>
      </c>
      <c r="Q125" s="33" t="s">
        <v>94</v>
      </c>
      <c r="R125" s="16" t="s">
        <v>95</v>
      </c>
      <c r="S125" s="16" t="s">
        <v>96</v>
      </c>
      <c r="T125" s="16" t="s">
        <v>97</v>
      </c>
      <c r="U125" s="34" t="s">
        <v>98</v>
      </c>
      <c r="V125" s="19" t="s">
        <v>99</v>
      </c>
      <c r="W125" s="18" t="s">
        <v>100</v>
      </c>
      <c r="X125" s="18" t="s">
        <v>101</v>
      </c>
      <c r="Y125" s="18" t="s">
        <v>102</v>
      </c>
      <c r="Z125" s="18" t="s">
        <v>103</v>
      </c>
      <c r="AA125" s="33" t="s">
        <v>104</v>
      </c>
      <c r="AB125" s="16" t="s">
        <v>105</v>
      </c>
      <c r="AC125" s="51" t="s">
        <v>212</v>
      </c>
      <c r="AD125" s="51" t="s">
        <v>213</v>
      </c>
      <c r="AE125" s="16" t="s">
        <v>106</v>
      </c>
      <c r="AF125" s="51" t="s">
        <v>214</v>
      </c>
      <c r="AG125" s="51" t="s">
        <v>215</v>
      </c>
      <c r="AH125" s="16" t="s">
        <v>107</v>
      </c>
      <c r="AI125" s="51" t="s">
        <v>216</v>
      </c>
      <c r="AJ125" s="51" t="s">
        <v>217</v>
      </c>
      <c r="AK125" s="35" t="s">
        <v>218</v>
      </c>
      <c r="AL125" s="35" t="s">
        <v>219</v>
      </c>
      <c r="AM125" s="35" t="s">
        <v>220</v>
      </c>
      <c r="AN125" s="35" t="s">
        <v>158</v>
      </c>
      <c r="AO125" s="35" t="s">
        <v>176</v>
      </c>
      <c r="AP125" s="16" t="s">
        <v>221</v>
      </c>
      <c r="AQ125" s="16" t="s">
        <v>222</v>
      </c>
      <c r="AR125" s="16" t="s">
        <v>223</v>
      </c>
      <c r="AS125" s="16" t="s">
        <v>224</v>
      </c>
      <c r="AT125" s="16" t="s">
        <v>225</v>
      </c>
      <c r="AU125" s="16" t="s">
        <v>226</v>
      </c>
    </row>
    <row r="126" spans="1:47">
      <c r="A126" s="5"/>
      <c r="B126" s="6"/>
      <c r="C126" s="5"/>
      <c r="D126" s="6"/>
      <c r="E126" s="5"/>
      <c r="F126" s="5"/>
      <c r="G126" s="5"/>
      <c r="H126" s="5"/>
      <c r="I126" s="5"/>
      <c r="J126" s="5"/>
      <c r="K126" s="5"/>
      <c r="L126" s="5"/>
      <c r="M126" s="5"/>
      <c r="N126" s="36">
        <v>3000</v>
      </c>
      <c r="O126" s="36">
        <v>2500</v>
      </c>
      <c r="P126" s="36">
        <v>4500</v>
      </c>
      <c r="Q126" s="37">
        <v>10000</v>
      </c>
      <c r="R126" s="36">
        <v>3500</v>
      </c>
      <c r="S126" s="36">
        <v>5000</v>
      </c>
      <c r="T126" s="36">
        <v>4500</v>
      </c>
      <c r="U126" s="38">
        <v>13000</v>
      </c>
      <c r="V126" s="39">
        <v>13000</v>
      </c>
      <c r="W126" s="36" t="s">
        <v>11</v>
      </c>
      <c r="X126" s="36">
        <v>1.3</v>
      </c>
      <c r="Y126" s="22">
        <v>16900</v>
      </c>
      <c r="Z126" s="22">
        <v>12000</v>
      </c>
      <c r="AA126" s="40">
        <v>16900</v>
      </c>
      <c r="AB126" s="41">
        <v>21970</v>
      </c>
      <c r="AC126" s="41" t="e">
        <v>#DIV/0!</v>
      </c>
      <c r="AD126" s="41" t="e">
        <v>#DIV/0!</v>
      </c>
    </row>
    <row r="127" spans="1:47">
      <c r="A127" s="5"/>
      <c r="B127" s="6"/>
      <c r="C127" s="5"/>
      <c r="D127" s="6"/>
      <c r="E127" s="5"/>
      <c r="F127" s="5"/>
      <c r="G127" s="5"/>
      <c r="H127" s="5"/>
      <c r="I127" s="5"/>
      <c r="J127" s="5"/>
      <c r="K127" s="5"/>
      <c r="L127" s="5"/>
      <c r="M127" s="5"/>
      <c r="N127" s="36">
        <v>1200</v>
      </c>
      <c r="O127" s="36">
        <v>650</v>
      </c>
      <c r="P127" s="36">
        <v>700</v>
      </c>
      <c r="Q127" s="37">
        <v>2550</v>
      </c>
      <c r="R127" s="36">
        <v>800</v>
      </c>
      <c r="S127" s="36">
        <v>450</v>
      </c>
      <c r="T127" s="36">
        <v>600</v>
      </c>
      <c r="U127" s="38">
        <v>1850</v>
      </c>
      <c r="V127" s="39">
        <v>2550</v>
      </c>
      <c r="W127" s="36" t="s">
        <v>13</v>
      </c>
      <c r="X127" s="36">
        <v>1.3</v>
      </c>
      <c r="Y127" s="22">
        <v>3315</v>
      </c>
      <c r="Z127" s="22">
        <v>4000</v>
      </c>
      <c r="AA127" s="40">
        <v>4000</v>
      </c>
      <c r="AB127" s="41" t="e">
        <v>#DIV/0!</v>
      </c>
      <c r="AC127" s="41" t="e">
        <v>#DIV/0!</v>
      </c>
      <c r="AD127" s="41" t="e">
        <v>#DIV/0!</v>
      </c>
    </row>
    <row r="128" spans="1:47">
      <c r="A128" s="5"/>
      <c r="B128" s="6"/>
      <c r="C128" s="5"/>
      <c r="D128" s="6"/>
      <c r="E128" s="5"/>
      <c r="F128" s="5"/>
      <c r="G128" s="5"/>
      <c r="H128" s="5"/>
      <c r="I128" s="5"/>
      <c r="J128" s="5"/>
      <c r="K128" s="5"/>
      <c r="L128" s="5"/>
      <c r="M128" s="5"/>
      <c r="N128" s="36">
        <v>450</v>
      </c>
      <c r="O128" s="36">
        <v>350</v>
      </c>
      <c r="P128" s="36">
        <v>250</v>
      </c>
      <c r="Q128" s="37">
        <v>1050</v>
      </c>
      <c r="R128" s="36">
        <v>530</v>
      </c>
      <c r="S128" s="36">
        <v>420</v>
      </c>
      <c r="T128" s="36">
        <v>560</v>
      </c>
      <c r="U128" s="38">
        <v>1510</v>
      </c>
      <c r="V128" s="39">
        <v>1510</v>
      </c>
      <c r="W128" s="36" t="s">
        <v>15</v>
      </c>
      <c r="X128" s="36">
        <v>1.2</v>
      </c>
      <c r="Y128" s="22">
        <v>1812</v>
      </c>
      <c r="Z128" s="22">
        <v>2500</v>
      </c>
      <c r="AA128" s="40">
        <v>2500</v>
      </c>
      <c r="AB128" s="41" t="e">
        <v>#DIV/0!</v>
      </c>
      <c r="AC128" s="41" t="e">
        <v>#DIV/0!</v>
      </c>
      <c r="AD128" s="41" t="e">
        <v>#DIV/0!</v>
      </c>
    </row>
    <row r="129" spans="1:38">
      <c r="A129" s="5"/>
      <c r="B129" s="6"/>
      <c r="C129" s="6"/>
      <c r="D129" s="6"/>
      <c r="E129" s="5"/>
      <c r="F129" s="5"/>
      <c r="G129" s="5"/>
      <c r="H129" s="5"/>
      <c r="I129" s="5"/>
      <c r="J129" s="5"/>
      <c r="K129" s="22"/>
      <c r="L129" s="22"/>
      <c r="M129" s="22"/>
      <c r="N129" s="36">
        <v>210</v>
      </c>
      <c r="O129" s="36">
        <v>340</v>
      </c>
      <c r="P129" s="36">
        <v>540</v>
      </c>
      <c r="Q129" s="37">
        <v>1090</v>
      </c>
      <c r="R129" s="36">
        <v>220</v>
      </c>
      <c r="S129" s="36">
        <v>350</v>
      </c>
      <c r="T129" s="36">
        <v>490</v>
      </c>
      <c r="U129" s="38">
        <v>1060</v>
      </c>
      <c r="V129" s="39">
        <v>1090</v>
      </c>
      <c r="W129" s="36" t="s">
        <v>17</v>
      </c>
      <c r="X129" s="36">
        <v>1.1000000000000001</v>
      </c>
      <c r="Y129" s="22">
        <v>1199</v>
      </c>
      <c r="Z129" s="22">
        <v>1000</v>
      </c>
      <c r="AA129" s="40">
        <v>1199</v>
      </c>
      <c r="AB129" s="41" t="e">
        <v>#DIV/0!</v>
      </c>
      <c r="AC129" s="41" t="e">
        <v>#DIV/0!</v>
      </c>
      <c r="AD129" s="41" t="e">
        <v>#DIV/0!</v>
      </c>
      <c r="AI129" s="22"/>
      <c r="AJ129" s="22"/>
      <c r="AK129" s="22"/>
      <c r="AL129" s="22"/>
    </row>
    <row r="130" spans="1:38">
      <c r="A130" s="5"/>
      <c r="B130" s="6"/>
      <c r="C130" s="6"/>
      <c r="D130" s="6"/>
      <c r="E130" s="5"/>
      <c r="F130" s="5"/>
      <c r="G130" s="5"/>
      <c r="H130" s="5"/>
      <c r="I130" s="5"/>
      <c r="J130" s="5"/>
      <c r="K130" s="22"/>
      <c r="L130" s="22"/>
      <c r="M130" s="22"/>
      <c r="N130" s="36">
        <v>180</v>
      </c>
      <c r="O130" s="36">
        <v>0</v>
      </c>
      <c r="P130" s="36">
        <v>190</v>
      </c>
      <c r="Q130" s="37">
        <v>370</v>
      </c>
      <c r="R130" s="36">
        <v>120</v>
      </c>
      <c r="S130" s="36">
        <v>110</v>
      </c>
      <c r="T130" s="36">
        <v>190</v>
      </c>
      <c r="U130" s="38">
        <v>420</v>
      </c>
      <c r="V130" s="39">
        <v>420</v>
      </c>
      <c r="W130" s="36" t="s">
        <v>19</v>
      </c>
      <c r="X130" s="36">
        <v>1</v>
      </c>
      <c r="Y130" s="22">
        <v>420</v>
      </c>
      <c r="Z130" s="22">
        <v>200</v>
      </c>
      <c r="AA130" s="40">
        <v>420</v>
      </c>
      <c r="AB130" s="41" t="e">
        <v>#DIV/0!</v>
      </c>
      <c r="AC130" s="41" t="e">
        <v>#DIV/0!</v>
      </c>
      <c r="AD130" s="41" t="e">
        <v>#DIV/0!</v>
      </c>
      <c r="AI130" s="22"/>
      <c r="AJ130" s="22"/>
      <c r="AK130" s="22"/>
      <c r="AL130" s="22"/>
    </row>
    <row r="131" spans="1:38">
      <c r="A131" s="5"/>
      <c r="B131" s="6"/>
      <c r="C131" s="6"/>
      <c r="D131" s="6"/>
      <c r="E131" s="5"/>
      <c r="F131" s="5"/>
      <c r="G131" s="5"/>
      <c r="H131" s="5"/>
      <c r="I131" s="5"/>
      <c r="J131" s="5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3"/>
      <c r="X131" s="22"/>
      <c r="Y131" s="24"/>
      <c r="Z131" s="23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</row>
    <row r="133" spans="1:38">
      <c r="A133" s="1" t="s">
        <v>116</v>
      </c>
    </row>
    <row r="135" spans="1:38" ht="51.95">
      <c r="A135" s="10" t="s">
        <v>28</v>
      </c>
      <c r="B135" s="10" t="s">
        <v>29</v>
      </c>
      <c r="C135" s="10" t="s">
        <v>30</v>
      </c>
      <c r="D135" s="10" t="s">
        <v>31</v>
      </c>
      <c r="E135" s="10" t="s">
        <v>32</v>
      </c>
      <c r="F135" s="10" t="s">
        <v>33</v>
      </c>
      <c r="G135" s="10" t="s">
        <v>34</v>
      </c>
      <c r="H135" s="10" t="s">
        <v>35</v>
      </c>
      <c r="I135" s="10" t="s">
        <v>36</v>
      </c>
      <c r="J135" s="10" t="s">
        <v>37</v>
      </c>
      <c r="K135" s="10" t="s">
        <v>38</v>
      </c>
      <c r="L135" s="11" t="s">
        <v>211</v>
      </c>
      <c r="M135" s="10" t="s">
        <v>40</v>
      </c>
      <c r="N135" s="16" t="s">
        <v>91</v>
      </c>
      <c r="O135" s="16" t="s">
        <v>92</v>
      </c>
      <c r="P135" s="16" t="s">
        <v>93</v>
      </c>
      <c r="Q135" s="33" t="s">
        <v>94</v>
      </c>
      <c r="R135" s="16" t="s">
        <v>95</v>
      </c>
      <c r="S135" s="16" t="s">
        <v>96</v>
      </c>
      <c r="T135" s="16" t="s">
        <v>97</v>
      </c>
      <c r="U135" s="34" t="s">
        <v>98</v>
      </c>
      <c r="V135" s="19" t="s">
        <v>99</v>
      </c>
      <c r="W135" s="18" t="s">
        <v>100</v>
      </c>
      <c r="X135" s="18" t="s">
        <v>101</v>
      </c>
      <c r="Y135" s="18" t="s">
        <v>102</v>
      </c>
      <c r="Z135" s="18" t="s">
        <v>103</v>
      </c>
      <c r="AA135" s="33" t="s">
        <v>104</v>
      </c>
      <c r="AB135" s="16" t="s">
        <v>105</v>
      </c>
      <c r="AC135" s="18" t="s">
        <v>212</v>
      </c>
      <c r="AD135" s="18" t="s">
        <v>213</v>
      </c>
      <c r="AE135" s="16" t="s">
        <v>218</v>
      </c>
      <c r="AF135" s="16" t="s">
        <v>158</v>
      </c>
      <c r="AG135" s="16" t="s">
        <v>176</v>
      </c>
      <c r="AH135" s="16" t="s">
        <v>221</v>
      </c>
    </row>
    <row r="136" spans="1:38">
      <c r="A136" s="5"/>
      <c r="B136" s="6"/>
      <c r="C136" s="5"/>
      <c r="D136" s="6"/>
      <c r="E136" s="5"/>
      <c r="F136" s="5"/>
      <c r="G136" s="5"/>
      <c r="H136" s="5"/>
      <c r="I136" s="5"/>
      <c r="J136" s="5"/>
      <c r="K136" s="5"/>
      <c r="L136" s="5"/>
      <c r="M136" s="5"/>
      <c r="N136" s="36">
        <v>3000</v>
      </c>
      <c r="O136" s="36">
        <v>2500</v>
      </c>
      <c r="P136" s="36">
        <v>4500</v>
      </c>
      <c r="Q136" s="37">
        <v>10000</v>
      </c>
      <c r="R136" s="36">
        <v>3500</v>
      </c>
      <c r="S136" s="36">
        <v>5000</v>
      </c>
      <c r="T136" s="36">
        <v>4500</v>
      </c>
      <c r="U136" s="38">
        <v>13000</v>
      </c>
      <c r="V136" s="39">
        <v>13000</v>
      </c>
      <c r="W136" s="36" t="s">
        <v>11</v>
      </c>
      <c r="X136" s="36">
        <v>1.3</v>
      </c>
      <c r="Y136" s="22">
        <v>16900</v>
      </c>
      <c r="Z136" s="22">
        <v>12000</v>
      </c>
      <c r="AA136" s="40">
        <v>16900</v>
      </c>
      <c r="AB136" s="41">
        <v>21970</v>
      </c>
      <c r="AC136" s="41" t="e">
        <v>#DIV/0!</v>
      </c>
      <c r="AD136" s="41" t="e">
        <v>#DIV/0!</v>
      </c>
      <c r="AE136" s="5"/>
      <c r="AF136" s="5"/>
      <c r="AG136" s="5"/>
      <c r="AH136" s="5"/>
    </row>
    <row r="137" spans="1:38">
      <c r="A137" s="5"/>
      <c r="B137" s="6"/>
      <c r="C137" s="5"/>
      <c r="D137" s="6"/>
      <c r="E137" s="5"/>
      <c r="F137" s="5"/>
      <c r="G137" s="5"/>
      <c r="H137" s="5"/>
      <c r="I137" s="5"/>
      <c r="J137" s="5"/>
      <c r="K137" s="5"/>
      <c r="L137" s="5"/>
      <c r="M137" s="5"/>
      <c r="N137" s="36">
        <v>1200</v>
      </c>
      <c r="O137" s="36">
        <v>650</v>
      </c>
      <c r="P137" s="36">
        <v>700</v>
      </c>
      <c r="Q137" s="37">
        <v>2550</v>
      </c>
      <c r="R137" s="36">
        <v>800</v>
      </c>
      <c r="S137" s="36">
        <v>450</v>
      </c>
      <c r="T137" s="36">
        <v>600</v>
      </c>
      <c r="U137" s="38">
        <v>1850</v>
      </c>
      <c r="V137" s="39">
        <v>2550</v>
      </c>
      <c r="W137" s="36" t="s">
        <v>13</v>
      </c>
      <c r="X137" s="36">
        <v>1.3</v>
      </c>
      <c r="Y137" s="22">
        <v>3315</v>
      </c>
      <c r="Z137" s="22">
        <v>4000</v>
      </c>
      <c r="AA137" s="40">
        <v>4000</v>
      </c>
      <c r="AB137" s="41" t="e">
        <v>#DIV/0!</v>
      </c>
      <c r="AC137" s="41" t="e">
        <v>#DIV/0!</v>
      </c>
      <c r="AD137" s="41" t="e">
        <v>#DIV/0!</v>
      </c>
      <c r="AE137" s="5"/>
      <c r="AF137" s="5"/>
      <c r="AG137" s="5"/>
      <c r="AH137" s="5"/>
    </row>
    <row r="138" spans="1:38">
      <c r="A138" s="5"/>
      <c r="B138" s="6"/>
      <c r="C138" s="5"/>
      <c r="D138" s="6"/>
      <c r="E138" s="5"/>
      <c r="F138" s="5"/>
      <c r="G138" s="5"/>
      <c r="H138" s="5"/>
      <c r="I138" s="5"/>
      <c r="J138" s="5"/>
      <c r="K138" s="5"/>
      <c r="L138" s="5"/>
      <c r="M138" s="5"/>
      <c r="N138" s="36">
        <v>450</v>
      </c>
      <c r="O138" s="36">
        <v>350</v>
      </c>
      <c r="P138" s="36">
        <v>250</v>
      </c>
      <c r="Q138" s="37">
        <v>1050</v>
      </c>
      <c r="R138" s="36">
        <v>530</v>
      </c>
      <c r="S138" s="36">
        <v>420</v>
      </c>
      <c r="T138" s="36">
        <v>560</v>
      </c>
      <c r="U138" s="38">
        <v>1510</v>
      </c>
      <c r="V138" s="39">
        <v>1510</v>
      </c>
      <c r="W138" s="36" t="s">
        <v>15</v>
      </c>
      <c r="X138" s="36">
        <v>1.2</v>
      </c>
      <c r="Y138" s="22">
        <v>1812</v>
      </c>
      <c r="Z138" s="22">
        <v>2500</v>
      </c>
      <c r="AA138" s="40">
        <v>2500</v>
      </c>
      <c r="AB138" s="41" t="e">
        <v>#DIV/0!</v>
      </c>
      <c r="AC138" s="41" t="e">
        <v>#DIV/0!</v>
      </c>
      <c r="AD138" s="41" t="e">
        <v>#DIV/0!</v>
      </c>
      <c r="AE138" s="5"/>
      <c r="AF138" s="5"/>
      <c r="AG138" s="5"/>
      <c r="AH138" s="5"/>
    </row>
    <row r="139" spans="1:38">
      <c r="A139" s="5"/>
      <c r="B139" s="6"/>
      <c r="C139" s="6"/>
      <c r="D139" s="6"/>
      <c r="E139" s="5"/>
      <c r="F139" s="5"/>
      <c r="G139" s="5"/>
      <c r="H139" s="5"/>
      <c r="I139" s="5"/>
      <c r="J139" s="5"/>
      <c r="K139" s="22"/>
      <c r="L139" s="22"/>
      <c r="M139" s="22"/>
      <c r="N139" s="36">
        <v>210</v>
      </c>
      <c r="O139" s="36">
        <v>340</v>
      </c>
      <c r="P139" s="36">
        <v>540</v>
      </c>
      <c r="Q139" s="37">
        <v>1090</v>
      </c>
      <c r="R139" s="36">
        <v>220</v>
      </c>
      <c r="S139" s="36">
        <v>350</v>
      </c>
      <c r="T139" s="36">
        <v>490</v>
      </c>
      <c r="U139" s="38">
        <v>1060</v>
      </c>
      <c r="V139" s="39">
        <v>1090</v>
      </c>
      <c r="W139" s="36" t="s">
        <v>17</v>
      </c>
      <c r="X139" s="36">
        <v>1.1000000000000001</v>
      </c>
      <c r="Y139" s="22">
        <v>1199</v>
      </c>
      <c r="Z139" s="22">
        <v>1000</v>
      </c>
      <c r="AA139" s="40">
        <v>1199</v>
      </c>
      <c r="AB139" s="41" t="e">
        <v>#DIV/0!</v>
      </c>
      <c r="AC139" s="41" t="e">
        <v>#DIV/0!</v>
      </c>
      <c r="AD139" s="41" t="e">
        <v>#DIV/0!</v>
      </c>
      <c r="AE139" s="5"/>
      <c r="AF139" s="5"/>
      <c r="AG139" s="5"/>
      <c r="AH139" s="5"/>
    </row>
    <row r="140" spans="1:38">
      <c r="A140" s="5"/>
      <c r="B140" s="6"/>
      <c r="C140" s="6"/>
      <c r="D140" s="6"/>
      <c r="E140" s="5"/>
      <c r="F140" s="5"/>
      <c r="G140" s="5"/>
      <c r="H140" s="5"/>
      <c r="I140" s="5"/>
      <c r="J140" s="5"/>
      <c r="K140" s="22"/>
      <c r="L140" s="22"/>
      <c r="M140" s="22"/>
      <c r="N140" s="36">
        <v>180</v>
      </c>
      <c r="O140" s="36">
        <v>0</v>
      </c>
      <c r="P140" s="36">
        <v>190</v>
      </c>
      <c r="Q140" s="37">
        <v>370</v>
      </c>
      <c r="R140" s="36">
        <v>120</v>
      </c>
      <c r="S140" s="36">
        <v>110</v>
      </c>
      <c r="T140" s="36">
        <v>190</v>
      </c>
      <c r="U140" s="38">
        <v>420</v>
      </c>
      <c r="V140" s="39">
        <v>420</v>
      </c>
      <c r="W140" s="36" t="s">
        <v>19</v>
      </c>
      <c r="X140" s="36">
        <v>1</v>
      </c>
      <c r="Y140" s="22">
        <v>420</v>
      </c>
      <c r="Z140" s="22">
        <v>200</v>
      </c>
      <c r="AA140" s="40">
        <v>420</v>
      </c>
      <c r="AB140" s="41" t="e">
        <v>#DIV/0!</v>
      </c>
      <c r="AC140" s="41" t="e">
        <v>#DIV/0!</v>
      </c>
      <c r="AD140" s="41" t="e">
        <v>#DIV/0!</v>
      </c>
      <c r="AE140" s="5"/>
      <c r="AF140" s="5"/>
      <c r="AG140" s="5"/>
      <c r="AH140" s="5"/>
    </row>
    <row r="141" spans="1:38">
      <c r="A141" s="5"/>
      <c r="B141" s="6"/>
      <c r="C141" s="6"/>
      <c r="D141" s="6"/>
      <c r="E141" s="5"/>
      <c r="F141" s="5"/>
      <c r="G141" s="5"/>
      <c r="H141" s="5"/>
      <c r="I141" s="5"/>
      <c r="J141" s="5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3"/>
      <c r="X141" s="22"/>
      <c r="Y141" s="24"/>
      <c r="Z141" s="23"/>
      <c r="AA141" s="22"/>
      <c r="AB141" s="22"/>
      <c r="AC141" s="22"/>
      <c r="AD141" s="22"/>
      <c r="AE141" s="22"/>
      <c r="AF141" s="22"/>
      <c r="AG141" s="22"/>
      <c r="AH141" s="22"/>
    </row>
  </sheetData>
  <conditionalFormatting sqref="D23">
    <cfRule type="duplicateValues" dxfId="11" priority="9"/>
    <cfRule type="duplicateValues" dxfId="10" priority="10"/>
  </conditionalFormatting>
  <conditionalFormatting sqref="D75">
    <cfRule type="duplicateValues" dxfId="9" priority="5"/>
    <cfRule type="duplicateValues" dxfId="8" priority="6"/>
  </conditionalFormatting>
  <conditionalFormatting sqref="D125">
    <cfRule type="duplicateValues" dxfId="7" priority="3"/>
    <cfRule type="duplicateValues" dxfId="6" priority="4"/>
  </conditionalFormatting>
  <conditionalFormatting sqref="D135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A5E22-F849-4624-A6C1-88F25E82E0B6}">
  <dimension ref="A1:AX115"/>
  <sheetViews>
    <sheetView topLeftCell="X15" workbookViewId="0">
      <selection activeCell="A17" sqref="A17:AO23"/>
    </sheetView>
  </sheetViews>
  <sheetFormatPr defaultRowHeight="14.45"/>
  <cols>
    <col min="1" max="1" width="14.42578125" bestFit="1" customWidth="1"/>
    <col min="2" max="2" width="36.85546875" style="3" customWidth="1"/>
    <col min="3" max="3" width="39" customWidth="1"/>
    <col min="5" max="5" width="19.85546875" customWidth="1"/>
    <col min="6" max="6" width="15.140625" bestFit="1" customWidth="1"/>
    <col min="7" max="7" width="18.140625" customWidth="1"/>
  </cols>
  <sheetData>
    <row r="1" spans="1:7">
      <c r="A1" s="1">
        <v>1.2</v>
      </c>
      <c r="B1" s="2" t="s">
        <v>78</v>
      </c>
      <c r="D1" s="3"/>
    </row>
    <row r="2" spans="1:7">
      <c r="D2" s="3"/>
    </row>
    <row r="3" spans="1:7">
      <c r="A3" s="1" t="s">
        <v>2</v>
      </c>
      <c r="D3" s="3"/>
    </row>
    <row r="4" spans="1:7">
      <c r="A4" s="1" t="s">
        <v>3</v>
      </c>
      <c r="B4" s="3" t="s">
        <v>4</v>
      </c>
      <c r="C4" t="s">
        <v>5</v>
      </c>
      <c r="D4" s="3"/>
      <c r="E4" t="s">
        <v>6</v>
      </c>
    </row>
    <row r="5" spans="1:7">
      <c r="A5" s="1" t="s">
        <v>7</v>
      </c>
      <c r="C5" t="s">
        <v>5</v>
      </c>
      <c r="D5" s="3"/>
      <c r="E5" t="s">
        <v>6</v>
      </c>
    </row>
    <row r="6" spans="1:7">
      <c r="A6" s="1"/>
      <c r="C6" t="s">
        <v>5</v>
      </c>
      <c r="D6" s="3"/>
      <c r="E6" t="s">
        <v>6</v>
      </c>
    </row>
    <row r="7" spans="1:7">
      <c r="A7" s="1" t="s">
        <v>79</v>
      </c>
      <c r="B7" s="3" t="s">
        <v>4</v>
      </c>
      <c r="D7" s="3"/>
      <c r="F7" t="s">
        <v>227</v>
      </c>
      <c r="G7" t="s">
        <v>228</v>
      </c>
    </row>
    <row r="8" spans="1:7">
      <c r="A8" s="1" t="s">
        <v>229</v>
      </c>
      <c r="D8" s="3"/>
    </row>
    <row r="9" spans="1:7">
      <c r="A9" s="1" t="s">
        <v>80</v>
      </c>
      <c r="B9" s="3" t="s">
        <v>4</v>
      </c>
      <c r="C9" t="s">
        <v>5</v>
      </c>
      <c r="D9" s="3"/>
      <c r="E9" t="s">
        <v>6</v>
      </c>
    </row>
    <row r="10" spans="1:7">
      <c r="A10" s="1" t="s">
        <v>9</v>
      </c>
      <c r="B10" s="3" t="s">
        <v>81</v>
      </c>
      <c r="D10" s="3"/>
    </row>
    <row r="11" spans="1:7">
      <c r="A11" s="1" t="s">
        <v>143</v>
      </c>
      <c r="B11" s="3" t="s">
        <v>144</v>
      </c>
      <c r="C11" s="3" t="s">
        <v>145</v>
      </c>
    </row>
    <row r="13" spans="1:7" ht="116.1">
      <c r="A13" t="s">
        <v>11</v>
      </c>
      <c r="B13" s="3" t="s">
        <v>82</v>
      </c>
      <c r="C13" s="3" t="s">
        <v>230</v>
      </c>
    </row>
    <row r="15" spans="1:7" ht="29.1">
      <c r="B15" s="3" t="s">
        <v>231</v>
      </c>
    </row>
    <row r="17" spans="1:50" ht="51.95">
      <c r="A17" s="10" t="s">
        <v>28</v>
      </c>
      <c r="B17" s="10" t="s">
        <v>29</v>
      </c>
      <c r="C17" s="10" t="s">
        <v>30</v>
      </c>
      <c r="D17" s="10" t="s">
        <v>31</v>
      </c>
      <c r="E17" s="10" t="s">
        <v>32</v>
      </c>
      <c r="F17" s="10" t="s">
        <v>33</v>
      </c>
      <c r="G17" s="10" t="s">
        <v>34</v>
      </c>
      <c r="H17" s="10" t="s">
        <v>35</v>
      </c>
      <c r="I17" s="10" t="s">
        <v>36</v>
      </c>
      <c r="J17" s="10" t="s">
        <v>37</v>
      </c>
      <c r="K17" s="10" t="s">
        <v>38</v>
      </c>
      <c r="L17" s="11" t="s">
        <v>39</v>
      </c>
      <c r="M17" s="10" t="s">
        <v>40</v>
      </c>
      <c r="N17" s="16" t="s">
        <v>91</v>
      </c>
      <c r="O17" s="16" t="s">
        <v>92</v>
      </c>
      <c r="P17" s="16" t="s">
        <v>93</v>
      </c>
      <c r="Q17" s="33" t="s">
        <v>94</v>
      </c>
      <c r="R17" s="16" t="s">
        <v>95</v>
      </c>
      <c r="S17" s="16" t="s">
        <v>96</v>
      </c>
      <c r="T17" s="16" t="s">
        <v>97</v>
      </c>
      <c r="U17" s="34" t="s">
        <v>98</v>
      </c>
      <c r="V17" s="19" t="s">
        <v>99</v>
      </c>
      <c r="W17" s="18" t="s">
        <v>100</v>
      </c>
      <c r="X17" s="18" t="s">
        <v>101</v>
      </c>
      <c r="Y17" s="18" t="s">
        <v>102</v>
      </c>
      <c r="Z17" s="18" t="s">
        <v>103</v>
      </c>
      <c r="AA17" s="33" t="s">
        <v>104</v>
      </c>
      <c r="AB17" s="16" t="s">
        <v>105</v>
      </c>
      <c r="AC17" s="16" t="s">
        <v>106</v>
      </c>
      <c r="AD17" s="16" t="s">
        <v>107</v>
      </c>
      <c r="AE17" s="35" t="s">
        <v>218</v>
      </c>
      <c r="AF17" s="35" t="s">
        <v>219</v>
      </c>
      <c r="AG17" s="35" t="s">
        <v>220</v>
      </c>
      <c r="AH17" s="35" t="s">
        <v>158</v>
      </c>
      <c r="AI17" s="35" t="s">
        <v>176</v>
      </c>
      <c r="AJ17" s="16" t="s">
        <v>221</v>
      </c>
      <c r="AK17" s="16" t="s">
        <v>222</v>
      </c>
      <c r="AL17" s="16" t="s">
        <v>223</v>
      </c>
      <c r="AM17" s="16" t="s">
        <v>224</v>
      </c>
      <c r="AN17" s="16" t="s">
        <v>225</v>
      </c>
      <c r="AO17" s="16" t="s">
        <v>226</v>
      </c>
      <c r="AP17" s="10"/>
      <c r="AQ17" s="10"/>
      <c r="AR17" s="10"/>
      <c r="AS17" s="10"/>
      <c r="AT17" s="10"/>
      <c r="AU17" s="10"/>
      <c r="AV17" s="10"/>
      <c r="AW17" s="10"/>
      <c r="AX17" s="10"/>
    </row>
    <row r="18" spans="1:50">
      <c r="A18" s="5"/>
      <c r="B18" s="6"/>
      <c r="C18" s="5"/>
      <c r="D18" s="6"/>
      <c r="E18" s="5"/>
      <c r="F18" s="5"/>
      <c r="G18" s="5"/>
      <c r="H18" s="5"/>
      <c r="I18" s="5"/>
      <c r="J18" s="5"/>
      <c r="K18" s="5"/>
      <c r="L18" s="5"/>
      <c r="M18" s="5"/>
      <c r="N18" s="36">
        <v>3000</v>
      </c>
      <c r="O18" s="36">
        <v>2500</v>
      </c>
      <c r="P18" s="36">
        <v>4500</v>
      </c>
      <c r="Q18" s="37">
        <v>10000</v>
      </c>
      <c r="R18" s="36">
        <v>3500</v>
      </c>
      <c r="S18" s="36">
        <v>5000</v>
      </c>
      <c r="T18" s="36">
        <v>4500</v>
      </c>
      <c r="U18" s="38">
        <v>13000</v>
      </c>
      <c r="V18" s="39">
        <v>13000</v>
      </c>
      <c r="W18" s="36" t="s">
        <v>11</v>
      </c>
      <c r="X18" s="36">
        <v>1.3</v>
      </c>
      <c r="Y18" s="22">
        <v>16900</v>
      </c>
      <c r="Z18" s="22">
        <v>12000</v>
      </c>
      <c r="AA18" s="40">
        <v>16900</v>
      </c>
      <c r="AB18" s="41">
        <v>21970</v>
      </c>
      <c r="AC18" s="41" t="e">
        <v>#DIV/0!</v>
      </c>
      <c r="AD18" s="41" t="e">
        <v>#DIV/0!</v>
      </c>
    </row>
    <row r="19" spans="1:50">
      <c r="A19" s="5"/>
      <c r="B19" s="6"/>
      <c r="C19" s="5"/>
      <c r="D19" s="6"/>
      <c r="E19" s="5"/>
      <c r="F19" s="5"/>
      <c r="G19" s="5"/>
      <c r="H19" s="5"/>
      <c r="I19" s="5"/>
      <c r="J19" s="5"/>
      <c r="K19" s="5"/>
      <c r="L19" s="5"/>
      <c r="M19" s="5"/>
      <c r="N19" s="36">
        <v>1200</v>
      </c>
      <c r="O19" s="36">
        <v>650</v>
      </c>
      <c r="P19" s="36">
        <v>700</v>
      </c>
      <c r="Q19" s="37">
        <v>2550</v>
      </c>
      <c r="R19" s="36">
        <v>800</v>
      </c>
      <c r="S19" s="36">
        <v>450</v>
      </c>
      <c r="T19" s="36">
        <v>600</v>
      </c>
      <c r="U19" s="38">
        <v>1850</v>
      </c>
      <c r="V19" s="39">
        <v>2550</v>
      </c>
      <c r="W19" s="36" t="s">
        <v>13</v>
      </c>
      <c r="X19" s="36">
        <v>1.3</v>
      </c>
      <c r="Y19" s="22">
        <v>3315</v>
      </c>
      <c r="Z19" s="22">
        <v>4000</v>
      </c>
      <c r="AA19" s="40">
        <v>4000</v>
      </c>
      <c r="AB19" s="41" t="e">
        <v>#DIV/0!</v>
      </c>
      <c r="AC19" s="41" t="e">
        <v>#DIV/0!</v>
      </c>
      <c r="AD19" s="41" t="e">
        <v>#DIV/0!</v>
      </c>
    </row>
    <row r="20" spans="1:50">
      <c r="A20" s="5"/>
      <c r="B20" s="6"/>
      <c r="C20" s="5"/>
      <c r="D20" s="6"/>
      <c r="E20" s="5"/>
      <c r="F20" s="5"/>
      <c r="G20" s="5"/>
      <c r="H20" s="5"/>
      <c r="I20" s="5"/>
      <c r="J20" s="5"/>
      <c r="K20" s="5"/>
      <c r="L20" s="5"/>
      <c r="M20" s="5"/>
      <c r="N20" s="36">
        <v>450</v>
      </c>
      <c r="O20" s="36">
        <v>350</v>
      </c>
      <c r="P20" s="36">
        <v>250</v>
      </c>
      <c r="Q20" s="37">
        <v>1050</v>
      </c>
      <c r="R20" s="36">
        <v>530</v>
      </c>
      <c r="S20" s="36">
        <v>420</v>
      </c>
      <c r="T20" s="36">
        <v>560</v>
      </c>
      <c r="U20" s="38">
        <v>1510</v>
      </c>
      <c r="V20" s="39">
        <v>1510</v>
      </c>
      <c r="W20" s="36" t="s">
        <v>15</v>
      </c>
      <c r="X20" s="36">
        <v>1.2</v>
      </c>
      <c r="Y20" s="22">
        <v>1812</v>
      </c>
      <c r="Z20" s="22">
        <v>2500</v>
      </c>
      <c r="AA20" s="40">
        <v>2500</v>
      </c>
      <c r="AB20" s="41" t="e">
        <v>#DIV/0!</v>
      </c>
      <c r="AC20" s="41" t="e">
        <v>#DIV/0!</v>
      </c>
      <c r="AD20" s="41" t="e">
        <v>#DIV/0!</v>
      </c>
    </row>
    <row r="21" spans="1:50">
      <c r="A21" s="5"/>
      <c r="B21" s="6"/>
      <c r="C21" s="6"/>
      <c r="D21" s="6"/>
      <c r="E21" s="5"/>
      <c r="F21" s="5"/>
      <c r="G21" s="5"/>
      <c r="H21" s="5"/>
      <c r="I21" s="5"/>
      <c r="J21" s="5"/>
      <c r="K21" s="22"/>
      <c r="L21" s="22"/>
      <c r="M21" s="22"/>
      <c r="N21" s="36">
        <v>210</v>
      </c>
      <c r="O21" s="36">
        <v>340</v>
      </c>
      <c r="P21" s="36">
        <v>540</v>
      </c>
      <c r="Q21" s="37">
        <v>1090</v>
      </c>
      <c r="R21" s="36">
        <v>220</v>
      </c>
      <c r="S21" s="36">
        <v>350</v>
      </c>
      <c r="T21" s="36">
        <v>490</v>
      </c>
      <c r="U21" s="38">
        <v>1060</v>
      </c>
      <c r="V21" s="39">
        <v>1090</v>
      </c>
      <c r="W21" s="36" t="s">
        <v>17</v>
      </c>
      <c r="X21" s="36">
        <v>1.1000000000000001</v>
      </c>
      <c r="Y21" s="22">
        <v>1199</v>
      </c>
      <c r="Z21" s="22">
        <v>1000</v>
      </c>
      <c r="AA21" s="40">
        <v>1199</v>
      </c>
      <c r="AB21" s="41" t="e">
        <v>#DIV/0!</v>
      </c>
      <c r="AC21" s="41" t="e">
        <v>#DIV/0!</v>
      </c>
      <c r="AD21" s="41" t="e">
        <v>#DIV/0!</v>
      </c>
      <c r="AI21" s="22"/>
      <c r="AJ21" s="22"/>
      <c r="AK21" s="22"/>
      <c r="AL21" s="22"/>
    </row>
    <row r="22" spans="1:50">
      <c r="A22" s="5"/>
      <c r="B22" s="6"/>
      <c r="C22" s="6"/>
      <c r="D22" s="6"/>
      <c r="E22" s="5"/>
      <c r="F22" s="5"/>
      <c r="G22" s="5"/>
      <c r="H22" s="5"/>
      <c r="I22" s="5"/>
      <c r="J22" s="5"/>
      <c r="K22" s="22"/>
      <c r="L22" s="22"/>
      <c r="M22" s="22"/>
      <c r="N22" s="36">
        <v>180</v>
      </c>
      <c r="O22" s="36">
        <v>0</v>
      </c>
      <c r="P22" s="36">
        <v>190</v>
      </c>
      <c r="Q22" s="37">
        <v>370</v>
      </c>
      <c r="R22" s="36">
        <v>120</v>
      </c>
      <c r="S22" s="36">
        <v>110</v>
      </c>
      <c r="T22" s="36">
        <v>190</v>
      </c>
      <c r="U22" s="38">
        <v>420</v>
      </c>
      <c r="V22" s="39">
        <v>420</v>
      </c>
      <c r="W22" s="36" t="s">
        <v>19</v>
      </c>
      <c r="X22" s="36">
        <v>1</v>
      </c>
      <c r="Y22" s="22">
        <v>420</v>
      </c>
      <c r="Z22" s="22">
        <v>200</v>
      </c>
      <c r="AA22" s="40">
        <v>420</v>
      </c>
      <c r="AB22" s="41" t="e">
        <v>#DIV/0!</v>
      </c>
      <c r="AC22" s="41" t="e">
        <v>#DIV/0!</v>
      </c>
      <c r="AD22" s="41" t="e">
        <v>#DIV/0!</v>
      </c>
      <c r="AI22" s="22"/>
      <c r="AJ22" s="22"/>
      <c r="AK22" s="22"/>
      <c r="AL22" s="22"/>
    </row>
    <row r="23" spans="1:50">
      <c r="A23" s="5"/>
      <c r="B23" s="6"/>
      <c r="C23" s="6"/>
      <c r="D23" s="6"/>
      <c r="E23" s="5"/>
      <c r="F23" s="5"/>
      <c r="G23" s="5"/>
      <c r="H23" s="5"/>
      <c r="I23" s="5"/>
      <c r="J23" s="5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3"/>
      <c r="X23" s="22"/>
      <c r="Y23" s="24"/>
      <c r="Z23" s="23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</row>
    <row r="25" spans="1:50">
      <c r="A25" s="4" t="s">
        <v>167</v>
      </c>
      <c r="B25" s="3" t="s">
        <v>232</v>
      </c>
      <c r="C25" s="3"/>
    </row>
    <row r="26" spans="1:50" ht="116.1">
      <c r="A26" s="21" t="s">
        <v>7</v>
      </c>
      <c r="B26" s="3" t="s">
        <v>233</v>
      </c>
      <c r="C26" s="3"/>
      <c r="D26" t="s">
        <v>234</v>
      </c>
      <c r="E26" t="s">
        <v>235</v>
      </c>
      <c r="G26" t="s">
        <v>236</v>
      </c>
      <c r="H26" t="s">
        <v>237</v>
      </c>
    </row>
    <row r="27" spans="1:50" ht="29.1">
      <c r="A27" s="21" t="s">
        <v>238</v>
      </c>
      <c r="B27" s="3" t="s">
        <v>239</v>
      </c>
      <c r="C27" s="3"/>
      <c r="D27" t="s">
        <v>240</v>
      </c>
      <c r="E27" t="s">
        <v>241</v>
      </c>
      <c r="G27" t="s">
        <v>242</v>
      </c>
      <c r="H27" t="s">
        <v>243</v>
      </c>
    </row>
    <row r="28" spans="1:50">
      <c r="A28" s="21" t="s">
        <v>130</v>
      </c>
      <c r="B28" s="3" t="s">
        <v>195</v>
      </c>
      <c r="C28" s="3"/>
      <c r="D28" t="s">
        <v>244</v>
      </c>
      <c r="E28" t="s">
        <v>245</v>
      </c>
      <c r="G28" t="s">
        <v>246</v>
      </c>
      <c r="H28" t="s">
        <v>247</v>
      </c>
    </row>
    <row r="29" spans="1:50">
      <c r="A29" s="4" t="s">
        <v>248</v>
      </c>
      <c r="B29" s="3" t="s">
        <v>249</v>
      </c>
      <c r="C29" s="3"/>
      <c r="D29" t="s">
        <v>250</v>
      </c>
      <c r="E29" t="s">
        <v>251</v>
      </c>
      <c r="G29" t="s">
        <v>252</v>
      </c>
      <c r="H29" t="s">
        <v>253</v>
      </c>
    </row>
    <row r="30" spans="1:50" ht="57.95">
      <c r="A30" s="4" t="s">
        <v>254</v>
      </c>
      <c r="B30" s="3" t="s">
        <v>255</v>
      </c>
      <c r="C30" s="3"/>
    </row>
    <row r="31" spans="1:50" ht="57.95">
      <c r="A31" s="4" t="s">
        <v>132</v>
      </c>
      <c r="B31" s="3" t="s">
        <v>256</v>
      </c>
      <c r="C31" s="3"/>
    </row>
    <row r="32" spans="1:50" ht="57.95">
      <c r="A32" s="4" t="s">
        <v>257</v>
      </c>
      <c r="B32" s="3" t="s">
        <v>258</v>
      </c>
      <c r="C32" s="3"/>
    </row>
    <row r="33" spans="1:5" ht="57.95">
      <c r="A33" s="4" t="s">
        <v>259</v>
      </c>
      <c r="B33" s="3" t="s">
        <v>260</v>
      </c>
      <c r="C33" s="3"/>
    </row>
    <row r="34" spans="1:5" ht="57.95">
      <c r="A34" s="4" t="s">
        <v>133</v>
      </c>
      <c r="B34" s="3" t="s">
        <v>261</v>
      </c>
      <c r="C34" s="3"/>
    </row>
    <row r="35" spans="1:5" ht="116.1">
      <c r="A35" s="16" t="s">
        <v>91</v>
      </c>
      <c r="B35" s="3" t="s">
        <v>262</v>
      </c>
      <c r="C35" s="3" t="s">
        <v>263</v>
      </c>
      <c r="E35" s="3" t="s">
        <v>264</v>
      </c>
    </row>
    <row r="36" spans="1:5" ht="43.5">
      <c r="A36" s="16" t="s">
        <v>92</v>
      </c>
      <c r="B36" s="3" t="s">
        <v>262</v>
      </c>
    </row>
    <row r="37" spans="1:5" ht="43.5">
      <c r="A37" s="16" t="s">
        <v>93</v>
      </c>
      <c r="B37" s="3" t="s">
        <v>262</v>
      </c>
    </row>
    <row r="38" spans="1:5" ht="26.1">
      <c r="A38" s="33" t="s">
        <v>94</v>
      </c>
      <c r="B38" s="3" t="s">
        <v>265</v>
      </c>
    </row>
    <row r="39" spans="1:5" ht="43.5">
      <c r="A39" s="16" t="s">
        <v>95</v>
      </c>
      <c r="B39" s="3" t="s">
        <v>262</v>
      </c>
    </row>
    <row r="40" spans="1:5" ht="43.5">
      <c r="A40" s="16" t="s">
        <v>96</v>
      </c>
      <c r="B40" s="3" t="s">
        <v>262</v>
      </c>
    </row>
    <row r="41" spans="1:5" ht="43.5">
      <c r="A41" s="16" t="s">
        <v>97</v>
      </c>
      <c r="B41" s="3" t="s">
        <v>262</v>
      </c>
    </row>
    <row r="42" spans="1:5" ht="26.1">
      <c r="A42" s="34" t="s">
        <v>98</v>
      </c>
      <c r="B42" s="3" t="s">
        <v>266</v>
      </c>
    </row>
    <row r="43" spans="1:5" ht="29.1">
      <c r="A43" s="19" t="s">
        <v>99</v>
      </c>
      <c r="B43" s="3" t="s">
        <v>267</v>
      </c>
    </row>
    <row r="44" spans="1:5" ht="43.5">
      <c r="A44" s="18" t="s">
        <v>100</v>
      </c>
      <c r="B44" s="3" t="s">
        <v>268</v>
      </c>
    </row>
    <row r="45" spans="1:5" ht="43.5">
      <c r="A45" s="18" t="s">
        <v>101</v>
      </c>
      <c r="B45" s="3" t="s">
        <v>269</v>
      </c>
    </row>
    <row r="46" spans="1:5" ht="43.5">
      <c r="A46" s="18" t="s">
        <v>158</v>
      </c>
      <c r="B46" s="3" t="s">
        <v>270</v>
      </c>
    </row>
    <row r="47" spans="1:5" ht="26.1">
      <c r="A47" s="18" t="s">
        <v>102</v>
      </c>
      <c r="B47" s="3" t="s">
        <v>271</v>
      </c>
    </row>
    <row r="48" spans="1:5" ht="39">
      <c r="A48" s="18" t="s">
        <v>103</v>
      </c>
      <c r="B48" s="3" t="s">
        <v>272</v>
      </c>
    </row>
    <row r="49" spans="1:2">
      <c r="A49" s="33" t="s">
        <v>104</v>
      </c>
      <c r="B49" s="3" t="s">
        <v>273</v>
      </c>
    </row>
    <row r="50" spans="1:2" ht="29.1">
      <c r="A50" s="16" t="s">
        <v>105</v>
      </c>
      <c r="B50" s="3" t="s">
        <v>274</v>
      </c>
    </row>
    <row r="51" spans="1:2" ht="29.1">
      <c r="A51" s="16" t="s">
        <v>106</v>
      </c>
      <c r="B51" s="3" t="s">
        <v>275</v>
      </c>
    </row>
    <row r="52" spans="1:2" ht="29.1">
      <c r="A52" s="16" t="s">
        <v>107</v>
      </c>
      <c r="B52" s="3" t="s">
        <v>276</v>
      </c>
    </row>
    <row r="53" spans="1:2">
      <c r="A53" s="35" t="s">
        <v>277</v>
      </c>
      <c r="B53" s="3" t="s">
        <v>278</v>
      </c>
    </row>
    <row r="54" spans="1:2">
      <c r="A54" s="35" t="s">
        <v>279</v>
      </c>
      <c r="B54" s="3" t="s">
        <v>280</v>
      </c>
    </row>
    <row r="55" spans="1:2">
      <c r="A55" s="35" t="s">
        <v>281</v>
      </c>
      <c r="B55" s="3" t="s">
        <v>282</v>
      </c>
    </row>
    <row r="58" spans="1:2">
      <c r="A58" s="42" t="s">
        <v>160</v>
      </c>
    </row>
    <row r="59" spans="1:2" ht="29.1">
      <c r="A59">
        <v>1</v>
      </c>
      <c r="B59" s="3" t="s">
        <v>283</v>
      </c>
    </row>
    <row r="60" spans="1:2" ht="57.95">
      <c r="A60">
        <v>2</v>
      </c>
      <c r="B60" s="3" t="s">
        <v>284</v>
      </c>
    </row>
    <row r="62" spans="1:2">
      <c r="A62" s="1" t="s">
        <v>285</v>
      </c>
    </row>
    <row r="64" spans="1:2">
      <c r="A64" s="25" t="s">
        <v>286</v>
      </c>
      <c r="B64" s="6" t="s">
        <v>287</v>
      </c>
    </row>
    <row r="65" spans="1:2">
      <c r="A65" s="25" t="s">
        <v>167</v>
      </c>
      <c r="B65" s="6" t="s">
        <v>287</v>
      </c>
    </row>
    <row r="66" spans="1:2">
      <c r="A66" s="26" t="s">
        <v>7</v>
      </c>
      <c r="B66" s="6" t="s">
        <v>287</v>
      </c>
    </row>
    <row r="67" spans="1:2">
      <c r="A67" s="26" t="s">
        <v>238</v>
      </c>
      <c r="B67" s="6" t="s">
        <v>287</v>
      </c>
    </row>
    <row r="68" spans="1:2">
      <c r="A68" s="26" t="s">
        <v>130</v>
      </c>
      <c r="B68" s="6" t="s">
        <v>287</v>
      </c>
    </row>
    <row r="69" spans="1:2">
      <c r="A69" s="25" t="s">
        <v>248</v>
      </c>
      <c r="B69" s="6" t="s">
        <v>287</v>
      </c>
    </row>
    <row r="70" spans="1:2">
      <c r="A70" s="25" t="s">
        <v>254</v>
      </c>
      <c r="B70" s="6" t="s">
        <v>287</v>
      </c>
    </row>
    <row r="71" spans="1:2">
      <c r="A71" s="25" t="s">
        <v>132</v>
      </c>
      <c r="B71" s="6" t="s">
        <v>287</v>
      </c>
    </row>
    <row r="72" spans="1:2">
      <c r="A72" s="25" t="s">
        <v>257</v>
      </c>
      <c r="B72" s="6" t="s">
        <v>287</v>
      </c>
    </row>
    <row r="73" spans="1:2">
      <c r="A73" s="25" t="s">
        <v>259</v>
      </c>
      <c r="B73" s="6" t="s">
        <v>287</v>
      </c>
    </row>
    <row r="74" spans="1:2">
      <c r="A74" s="25" t="s">
        <v>133</v>
      </c>
      <c r="B74" s="6" t="s">
        <v>287</v>
      </c>
    </row>
    <row r="75" spans="1:2">
      <c r="A75" s="25" t="s">
        <v>288</v>
      </c>
      <c r="B75" s="6" t="s">
        <v>287</v>
      </c>
    </row>
    <row r="76" spans="1:2">
      <c r="A76" s="25" t="s">
        <v>289</v>
      </c>
      <c r="B76" s="6" t="s">
        <v>287</v>
      </c>
    </row>
    <row r="77" spans="1:2">
      <c r="A77" s="25" t="s">
        <v>290</v>
      </c>
      <c r="B77" s="6" t="s">
        <v>287</v>
      </c>
    </row>
    <row r="78" spans="1:2">
      <c r="A78" s="27" t="s">
        <v>291</v>
      </c>
      <c r="B78" s="6" t="s">
        <v>287</v>
      </c>
    </row>
    <row r="79" spans="1:2">
      <c r="A79" s="27" t="s">
        <v>292</v>
      </c>
      <c r="B79" s="6" t="s">
        <v>287</v>
      </c>
    </row>
    <row r="80" spans="1:2" ht="26.1">
      <c r="A80" s="28" t="s">
        <v>94</v>
      </c>
      <c r="B80" s="6" t="s">
        <v>287</v>
      </c>
    </row>
    <row r="81" spans="1:2">
      <c r="A81" s="27" t="s">
        <v>293</v>
      </c>
      <c r="B81" s="6" t="s">
        <v>287</v>
      </c>
    </row>
    <row r="82" spans="1:2">
      <c r="A82" s="27" t="s">
        <v>294</v>
      </c>
      <c r="B82" s="6" t="s">
        <v>287</v>
      </c>
    </row>
    <row r="83" spans="1:2">
      <c r="A83" s="27" t="s">
        <v>295</v>
      </c>
      <c r="B83" s="6" t="s">
        <v>287</v>
      </c>
    </row>
    <row r="84" spans="1:2" ht="26.1">
      <c r="A84" s="28" t="s">
        <v>98</v>
      </c>
      <c r="B84" s="6" t="s">
        <v>287</v>
      </c>
    </row>
    <row r="85" spans="1:2">
      <c r="A85" s="27" t="s">
        <v>296</v>
      </c>
      <c r="B85" s="6" t="s">
        <v>287</v>
      </c>
    </row>
    <row r="86" spans="1:2">
      <c r="A86" s="28" t="s">
        <v>100</v>
      </c>
      <c r="B86" s="6" t="s">
        <v>287</v>
      </c>
    </row>
    <row r="87" spans="1:2" ht="26.1">
      <c r="A87" s="28" t="s">
        <v>101</v>
      </c>
      <c r="B87" s="6" t="s">
        <v>287</v>
      </c>
    </row>
    <row r="88" spans="1:2">
      <c r="A88" s="28" t="s">
        <v>158</v>
      </c>
      <c r="B88" s="6" t="s">
        <v>287</v>
      </c>
    </row>
    <row r="89" spans="1:2" ht="26.1">
      <c r="A89" s="28" t="s">
        <v>102</v>
      </c>
      <c r="B89" s="6" t="s">
        <v>287</v>
      </c>
    </row>
    <row r="90" spans="1:2" ht="26.1">
      <c r="A90" s="28" t="s">
        <v>297</v>
      </c>
      <c r="B90" s="6"/>
    </row>
    <row r="91" spans="1:2" ht="39">
      <c r="A91" s="28" t="s">
        <v>298</v>
      </c>
      <c r="B91" s="6"/>
    </row>
    <row r="92" spans="1:2">
      <c r="A92" s="28" t="s">
        <v>104</v>
      </c>
      <c r="B92" s="6" t="s">
        <v>287</v>
      </c>
    </row>
    <row r="93" spans="1:2">
      <c r="A93" s="27" t="s">
        <v>299</v>
      </c>
      <c r="B93" s="6" t="s">
        <v>287</v>
      </c>
    </row>
    <row r="94" spans="1:2">
      <c r="A94" s="27" t="s">
        <v>300</v>
      </c>
      <c r="B94" s="6" t="s">
        <v>287</v>
      </c>
    </row>
    <row r="95" spans="1:2">
      <c r="A95" s="27" t="s">
        <v>301</v>
      </c>
      <c r="B95" s="6" t="s">
        <v>287</v>
      </c>
    </row>
    <row r="96" spans="1:2">
      <c r="A96" s="27" t="s">
        <v>302</v>
      </c>
      <c r="B96" s="6" t="s">
        <v>287</v>
      </c>
    </row>
    <row r="97" spans="1:6">
      <c r="A97" s="27" t="s">
        <v>303</v>
      </c>
      <c r="B97" s="6" t="s">
        <v>287</v>
      </c>
    </row>
    <row r="98" spans="1:6">
      <c r="A98" s="27" t="s">
        <v>304</v>
      </c>
      <c r="B98" s="6" t="s">
        <v>287</v>
      </c>
    </row>
    <row r="99" spans="1:6">
      <c r="A99" s="27" t="s">
        <v>158</v>
      </c>
      <c r="B99" s="6" t="s">
        <v>287</v>
      </c>
    </row>
    <row r="100" spans="1:6">
      <c r="A100" s="43" t="s">
        <v>305</v>
      </c>
    </row>
    <row r="102" spans="1:6">
      <c r="A102" s="42" t="s">
        <v>306</v>
      </c>
    </row>
    <row r="104" spans="1:6">
      <c r="A104" s="5" t="s">
        <v>7</v>
      </c>
      <c r="B104" s="6" t="s">
        <v>307</v>
      </c>
      <c r="C104" s="5" t="s">
        <v>308</v>
      </c>
      <c r="D104" s="5" t="s">
        <v>289</v>
      </c>
      <c r="E104" s="5" t="s">
        <v>309</v>
      </c>
    </row>
    <row r="105" spans="1:6">
      <c r="A105" s="5"/>
      <c r="B105" s="6"/>
      <c r="C105" s="5"/>
      <c r="D105" s="5"/>
      <c r="E105" s="5"/>
    </row>
    <row r="106" spans="1:6">
      <c r="A106" t="s">
        <v>4</v>
      </c>
      <c r="B106" t="s">
        <v>4</v>
      </c>
      <c r="C106" t="s">
        <v>4</v>
      </c>
      <c r="D106" t="s">
        <v>4</v>
      </c>
      <c r="E106" t="s">
        <v>4</v>
      </c>
    </row>
    <row r="109" spans="1:6">
      <c r="A109" s="1" t="s">
        <v>310</v>
      </c>
    </row>
    <row r="111" spans="1:6">
      <c r="A111" s="5" t="s">
        <v>7</v>
      </c>
      <c r="B111" s="6" t="s">
        <v>307</v>
      </c>
      <c r="C111" s="5" t="s">
        <v>308</v>
      </c>
      <c r="D111" s="5" t="s">
        <v>289</v>
      </c>
      <c r="E111" s="5" t="s">
        <v>309</v>
      </c>
      <c r="F111" s="5" t="s">
        <v>311</v>
      </c>
    </row>
    <row r="112" spans="1:6">
      <c r="A112" s="5"/>
      <c r="B112" s="6"/>
      <c r="C112" s="5"/>
      <c r="D112" s="5"/>
      <c r="E112" s="5"/>
      <c r="F112" s="5"/>
    </row>
    <row r="113" spans="1:6">
      <c r="A113" t="s">
        <v>4</v>
      </c>
      <c r="B113" t="s">
        <v>4</v>
      </c>
      <c r="C113" t="s">
        <v>4</v>
      </c>
      <c r="D113" t="s">
        <v>4</v>
      </c>
      <c r="E113" t="s">
        <v>4</v>
      </c>
      <c r="F113" t="s">
        <v>4</v>
      </c>
    </row>
    <row r="115" spans="1:6">
      <c r="A115" t="s">
        <v>312</v>
      </c>
    </row>
  </sheetData>
  <conditionalFormatting sqref="D17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326E6-2DCC-4B2F-80DE-F45A6054EE0D}">
  <dimension ref="A1:AX115"/>
  <sheetViews>
    <sheetView topLeftCell="A48" workbookViewId="0">
      <selection activeCell="A61" sqref="A61"/>
    </sheetView>
  </sheetViews>
  <sheetFormatPr defaultRowHeight="14.45"/>
  <cols>
    <col min="1" max="1" width="14.42578125" bestFit="1" customWidth="1"/>
    <col min="2" max="2" width="36.85546875" style="3" customWidth="1"/>
    <col min="3" max="3" width="39" customWidth="1"/>
    <col min="5" max="5" width="19.85546875" customWidth="1"/>
    <col min="6" max="6" width="15.140625" bestFit="1" customWidth="1"/>
    <col min="7" max="7" width="18.140625" customWidth="1"/>
  </cols>
  <sheetData>
    <row r="1" spans="1:7">
      <c r="A1" s="1">
        <v>1.3</v>
      </c>
      <c r="B1" s="2" t="s">
        <v>115</v>
      </c>
      <c r="D1" s="3"/>
    </row>
    <row r="2" spans="1:7">
      <c r="D2" s="3"/>
    </row>
    <row r="3" spans="1:7">
      <c r="A3" s="1" t="s">
        <v>2</v>
      </c>
      <c r="D3" s="3"/>
    </row>
    <row r="4" spans="1:7">
      <c r="A4" s="1" t="s">
        <v>3</v>
      </c>
      <c r="B4" s="3" t="s">
        <v>4</v>
      </c>
      <c r="C4" t="s">
        <v>5</v>
      </c>
      <c r="D4" s="3"/>
      <c r="E4" t="s">
        <v>6</v>
      </c>
    </row>
    <row r="5" spans="1:7">
      <c r="A5" s="1" t="s">
        <v>7</v>
      </c>
      <c r="C5" t="s">
        <v>5</v>
      </c>
      <c r="D5" s="3"/>
      <c r="E5" t="s">
        <v>6</v>
      </c>
    </row>
    <row r="6" spans="1:7">
      <c r="A6" s="1"/>
      <c r="C6" t="s">
        <v>5</v>
      </c>
      <c r="D6" s="3"/>
      <c r="E6" t="s">
        <v>6</v>
      </c>
    </row>
    <row r="7" spans="1:7">
      <c r="A7" s="1" t="s">
        <v>79</v>
      </c>
      <c r="B7" s="3" t="s">
        <v>4</v>
      </c>
      <c r="D7" s="3"/>
      <c r="F7" t="s">
        <v>227</v>
      </c>
      <c r="G7" t="s">
        <v>228</v>
      </c>
    </row>
    <row r="8" spans="1:7">
      <c r="A8" s="1" t="s">
        <v>229</v>
      </c>
      <c r="D8" s="3"/>
    </row>
    <row r="9" spans="1:7">
      <c r="A9" s="1" t="s">
        <v>80</v>
      </c>
      <c r="B9" s="3" t="s">
        <v>4</v>
      </c>
      <c r="C9" t="s">
        <v>5</v>
      </c>
      <c r="D9" s="3"/>
      <c r="E9" t="s">
        <v>6</v>
      </c>
    </row>
    <row r="10" spans="1:7">
      <c r="A10" s="1" t="s">
        <v>9</v>
      </c>
      <c r="B10" s="3" t="s">
        <v>81</v>
      </c>
      <c r="D10" s="3"/>
    </row>
    <row r="11" spans="1:7">
      <c r="A11" s="1" t="s">
        <v>143</v>
      </c>
      <c r="B11" s="3" t="s">
        <v>144</v>
      </c>
      <c r="C11" s="3" t="s">
        <v>145</v>
      </c>
    </row>
    <row r="13" spans="1:7" ht="116.1">
      <c r="A13" t="s">
        <v>11</v>
      </c>
      <c r="B13" s="3" t="s">
        <v>82</v>
      </c>
      <c r="C13" s="3" t="s">
        <v>230</v>
      </c>
    </row>
    <row r="15" spans="1:7" ht="29.1">
      <c r="B15" s="3" t="s">
        <v>231</v>
      </c>
    </row>
    <row r="17" spans="1:50" ht="51.95">
      <c r="A17" s="10" t="s">
        <v>28</v>
      </c>
      <c r="B17" s="10" t="s">
        <v>29</v>
      </c>
      <c r="C17" s="10" t="s">
        <v>30</v>
      </c>
      <c r="D17" s="10" t="s">
        <v>31</v>
      </c>
      <c r="E17" s="10" t="s">
        <v>32</v>
      </c>
      <c r="F17" s="10" t="s">
        <v>33</v>
      </c>
      <c r="G17" s="10" t="s">
        <v>34</v>
      </c>
      <c r="H17" s="10" t="s">
        <v>35</v>
      </c>
      <c r="I17" s="10" t="s">
        <v>36</v>
      </c>
      <c r="J17" s="10" t="s">
        <v>37</v>
      </c>
      <c r="K17" s="10" t="s">
        <v>38</v>
      </c>
      <c r="L17" s="11" t="s">
        <v>39</v>
      </c>
      <c r="M17" s="10" t="s">
        <v>40</v>
      </c>
      <c r="N17" s="16" t="s">
        <v>91</v>
      </c>
      <c r="O17" s="16" t="s">
        <v>92</v>
      </c>
      <c r="P17" s="16" t="s">
        <v>93</v>
      </c>
      <c r="Q17" s="33" t="s">
        <v>94</v>
      </c>
      <c r="R17" s="16" t="s">
        <v>95</v>
      </c>
      <c r="S17" s="16" t="s">
        <v>96</v>
      </c>
      <c r="T17" s="16" t="s">
        <v>97</v>
      </c>
      <c r="U17" s="34" t="s">
        <v>98</v>
      </c>
      <c r="V17" s="19" t="s">
        <v>99</v>
      </c>
      <c r="W17" s="18" t="s">
        <v>100</v>
      </c>
      <c r="X17" s="18" t="s">
        <v>101</v>
      </c>
      <c r="Y17" s="18" t="s">
        <v>102</v>
      </c>
      <c r="Z17" s="18" t="s">
        <v>103</v>
      </c>
      <c r="AA17" s="33" t="s">
        <v>104</v>
      </c>
      <c r="AB17" s="16" t="s">
        <v>105</v>
      </c>
      <c r="AC17" s="16" t="s">
        <v>106</v>
      </c>
      <c r="AD17" s="16" t="s">
        <v>107</v>
      </c>
      <c r="AE17" s="35" t="s">
        <v>218</v>
      </c>
      <c r="AF17" s="35" t="s">
        <v>219</v>
      </c>
      <c r="AG17" s="35" t="s">
        <v>220</v>
      </c>
      <c r="AH17" s="35" t="s">
        <v>158</v>
      </c>
      <c r="AI17" s="35" t="s">
        <v>176</v>
      </c>
      <c r="AJ17" s="16" t="s">
        <v>221</v>
      </c>
      <c r="AK17" s="16" t="s">
        <v>222</v>
      </c>
      <c r="AL17" s="16" t="s">
        <v>223</v>
      </c>
      <c r="AM17" s="16" t="s">
        <v>224</v>
      </c>
      <c r="AN17" s="16" t="s">
        <v>225</v>
      </c>
      <c r="AO17" s="16" t="s">
        <v>226</v>
      </c>
      <c r="AP17" s="10"/>
      <c r="AQ17" s="10"/>
      <c r="AR17" s="10"/>
      <c r="AS17" s="10"/>
      <c r="AT17" s="10"/>
      <c r="AU17" s="10"/>
      <c r="AV17" s="10"/>
      <c r="AW17" s="10"/>
      <c r="AX17" s="10"/>
    </row>
    <row r="18" spans="1:50">
      <c r="A18" s="5"/>
      <c r="B18" s="6"/>
      <c r="C18" s="5"/>
      <c r="D18" s="6"/>
      <c r="E18" s="5"/>
      <c r="F18" s="5"/>
      <c r="G18" s="5"/>
      <c r="H18" s="5"/>
      <c r="I18" s="5"/>
      <c r="J18" s="5"/>
      <c r="K18" s="5"/>
      <c r="L18" s="5"/>
      <c r="M18" s="5"/>
      <c r="N18" s="36">
        <v>3000</v>
      </c>
      <c r="O18" s="36">
        <v>2500</v>
      </c>
      <c r="P18" s="36">
        <v>4500</v>
      </c>
      <c r="Q18" s="37">
        <v>10000</v>
      </c>
      <c r="R18" s="36">
        <v>3500</v>
      </c>
      <c r="S18" s="36">
        <v>5000</v>
      </c>
      <c r="T18" s="36">
        <v>4500</v>
      </c>
      <c r="U18" s="38">
        <v>13000</v>
      </c>
      <c r="V18" s="39">
        <v>13000</v>
      </c>
      <c r="W18" s="36" t="s">
        <v>11</v>
      </c>
      <c r="X18" s="36">
        <v>1.3</v>
      </c>
      <c r="Y18" s="22">
        <v>16900</v>
      </c>
      <c r="Z18" s="22">
        <v>12000</v>
      </c>
      <c r="AA18" s="40">
        <v>16900</v>
      </c>
      <c r="AB18" s="41">
        <v>21970</v>
      </c>
      <c r="AC18" s="41" t="e">
        <v>#DIV/0!</v>
      </c>
      <c r="AD18" s="41" t="e">
        <v>#DIV/0!</v>
      </c>
    </row>
    <row r="19" spans="1:50">
      <c r="A19" s="5"/>
      <c r="B19" s="6"/>
      <c r="C19" s="5"/>
      <c r="D19" s="6"/>
      <c r="E19" s="5"/>
      <c r="F19" s="5"/>
      <c r="G19" s="5"/>
      <c r="H19" s="5"/>
      <c r="I19" s="5"/>
      <c r="J19" s="5"/>
      <c r="K19" s="5"/>
      <c r="L19" s="5"/>
      <c r="M19" s="5"/>
      <c r="N19" s="36">
        <v>1200</v>
      </c>
      <c r="O19" s="36">
        <v>650</v>
      </c>
      <c r="P19" s="36">
        <v>700</v>
      </c>
      <c r="Q19" s="37">
        <v>2550</v>
      </c>
      <c r="R19" s="36">
        <v>800</v>
      </c>
      <c r="S19" s="36">
        <v>450</v>
      </c>
      <c r="T19" s="36">
        <v>600</v>
      </c>
      <c r="U19" s="38">
        <v>1850</v>
      </c>
      <c r="V19" s="39">
        <v>2550</v>
      </c>
      <c r="W19" s="36" t="s">
        <v>13</v>
      </c>
      <c r="X19" s="36">
        <v>1.3</v>
      </c>
      <c r="Y19" s="22">
        <v>3315</v>
      </c>
      <c r="Z19" s="22">
        <v>4000</v>
      </c>
      <c r="AA19" s="40">
        <v>4000</v>
      </c>
      <c r="AB19" s="41" t="e">
        <v>#DIV/0!</v>
      </c>
      <c r="AC19" s="41" t="e">
        <v>#DIV/0!</v>
      </c>
      <c r="AD19" s="41" t="e">
        <v>#DIV/0!</v>
      </c>
    </row>
    <row r="20" spans="1:50">
      <c r="A20" s="5"/>
      <c r="B20" s="6"/>
      <c r="C20" s="5"/>
      <c r="D20" s="6"/>
      <c r="E20" s="5"/>
      <c r="F20" s="5"/>
      <c r="G20" s="5"/>
      <c r="H20" s="5"/>
      <c r="I20" s="5"/>
      <c r="J20" s="5"/>
      <c r="K20" s="5"/>
      <c r="L20" s="5"/>
      <c r="M20" s="5"/>
      <c r="N20" s="36">
        <v>450</v>
      </c>
      <c r="O20" s="36">
        <v>350</v>
      </c>
      <c r="P20" s="36">
        <v>250</v>
      </c>
      <c r="Q20" s="37">
        <v>1050</v>
      </c>
      <c r="R20" s="36">
        <v>530</v>
      </c>
      <c r="S20" s="36">
        <v>420</v>
      </c>
      <c r="T20" s="36">
        <v>560</v>
      </c>
      <c r="U20" s="38">
        <v>1510</v>
      </c>
      <c r="V20" s="39">
        <v>1510</v>
      </c>
      <c r="W20" s="36" t="s">
        <v>15</v>
      </c>
      <c r="X20" s="36">
        <v>1.2</v>
      </c>
      <c r="Y20" s="22">
        <v>1812</v>
      </c>
      <c r="Z20" s="22">
        <v>2500</v>
      </c>
      <c r="AA20" s="40">
        <v>2500</v>
      </c>
      <c r="AB20" s="41" t="e">
        <v>#DIV/0!</v>
      </c>
      <c r="AC20" s="41" t="e">
        <v>#DIV/0!</v>
      </c>
      <c r="AD20" s="41" t="e">
        <v>#DIV/0!</v>
      </c>
    </row>
    <row r="21" spans="1:50">
      <c r="A21" s="5"/>
      <c r="B21" s="6"/>
      <c r="C21" s="6"/>
      <c r="D21" s="6"/>
      <c r="E21" s="5"/>
      <c r="F21" s="5"/>
      <c r="G21" s="5"/>
      <c r="H21" s="5"/>
      <c r="I21" s="5"/>
      <c r="J21" s="5"/>
      <c r="K21" s="22"/>
      <c r="L21" s="22"/>
      <c r="M21" s="22"/>
      <c r="N21" s="36">
        <v>210</v>
      </c>
      <c r="O21" s="36">
        <v>340</v>
      </c>
      <c r="P21" s="36">
        <v>540</v>
      </c>
      <c r="Q21" s="37">
        <v>1090</v>
      </c>
      <c r="R21" s="36">
        <v>220</v>
      </c>
      <c r="S21" s="36">
        <v>350</v>
      </c>
      <c r="T21" s="36">
        <v>490</v>
      </c>
      <c r="U21" s="38">
        <v>1060</v>
      </c>
      <c r="V21" s="39">
        <v>1090</v>
      </c>
      <c r="W21" s="36" t="s">
        <v>17</v>
      </c>
      <c r="X21" s="36">
        <v>1.1000000000000001</v>
      </c>
      <c r="Y21" s="22">
        <v>1199</v>
      </c>
      <c r="Z21" s="22">
        <v>1000</v>
      </c>
      <c r="AA21" s="40">
        <v>1199</v>
      </c>
      <c r="AB21" s="41" t="e">
        <v>#DIV/0!</v>
      </c>
      <c r="AC21" s="41" t="e">
        <v>#DIV/0!</v>
      </c>
      <c r="AD21" s="41" t="e">
        <v>#DIV/0!</v>
      </c>
      <c r="AI21" s="22"/>
      <c r="AJ21" s="22"/>
      <c r="AK21" s="22"/>
      <c r="AL21" s="22"/>
    </row>
    <row r="22" spans="1:50">
      <c r="A22" s="5"/>
      <c r="B22" s="6"/>
      <c r="C22" s="6"/>
      <c r="D22" s="6"/>
      <c r="E22" s="5"/>
      <c r="F22" s="5"/>
      <c r="G22" s="5"/>
      <c r="H22" s="5"/>
      <c r="I22" s="5"/>
      <c r="J22" s="5"/>
      <c r="K22" s="22"/>
      <c r="L22" s="22"/>
      <c r="M22" s="22"/>
      <c r="N22" s="36">
        <v>180</v>
      </c>
      <c r="O22" s="36">
        <v>0</v>
      </c>
      <c r="P22" s="36">
        <v>190</v>
      </c>
      <c r="Q22" s="37">
        <v>370</v>
      </c>
      <c r="R22" s="36">
        <v>120</v>
      </c>
      <c r="S22" s="36">
        <v>110</v>
      </c>
      <c r="T22" s="36">
        <v>190</v>
      </c>
      <c r="U22" s="38">
        <v>420</v>
      </c>
      <c r="V22" s="39">
        <v>420</v>
      </c>
      <c r="W22" s="36" t="s">
        <v>19</v>
      </c>
      <c r="X22" s="36">
        <v>1</v>
      </c>
      <c r="Y22" s="22">
        <v>420</v>
      </c>
      <c r="Z22" s="22">
        <v>200</v>
      </c>
      <c r="AA22" s="40">
        <v>420</v>
      </c>
      <c r="AB22" s="41" t="e">
        <v>#DIV/0!</v>
      </c>
      <c r="AC22" s="41" t="e">
        <v>#DIV/0!</v>
      </c>
      <c r="AD22" s="41" t="e">
        <v>#DIV/0!</v>
      </c>
      <c r="AI22" s="22"/>
      <c r="AJ22" s="22"/>
      <c r="AK22" s="22"/>
      <c r="AL22" s="22"/>
    </row>
    <row r="23" spans="1:50">
      <c r="A23" s="5"/>
      <c r="B23" s="6"/>
      <c r="C23" s="6"/>
      <c r="D23" s="6"/>
      <c r="E23" s="5"/>
      <c r="F23" s="5"/>
      <c r="G23" s="5"/>
      <c r="H23" s="5"/>
      <c r="I23" s="5"/>
      <c r="J23" s="5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3"/>
      <c r="X23" s="22"/>
      <c r="Y23" s="24"/>
      <c r="Z23" s="23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</row>
    <row r="25" spans="1:50">
      <c r="A25" s="4" t="s">
        <v>167</v>
      </c>
      <c r="B25" s="3" t="s">
        <v>232</v>
      </c>
      <c r="C25" s="3"/>
    </row>
    <row r="26" spans="1:50" ht="116.1">
      <c r="A26" s="21" t="s">
        <v>7</v>
      </c>
      <c r="B26" s="3" t="s">
        <v>233</v>
      </c>
      <c r="C26" s="3"/>
      <c r="D26" t="s">
        <v>234</v>
      </c>
      <c r="E26" t="s">
        <v>235</v>
      </c>
      <c r="G26" t="s">
        <v>236</v>
      </c>
      <c r="H26" t="s">
        <v>237</v>
      </c>
    </row>
    <row r="27" spans="1:50" ht="29.1">
      <c r="A27" s="21" t="s">
        <v>238</v>
      </c>
      <c r="B27" s="3" t="s">
        <v>239</v>
      </c>
      <c r="C27" s="3"/>
      <c r="D27" t="s">
        <v>240</v>
      </c>
      <c r="E27" t="s">
        <v>241</v>
      </c>
      <c r="G27" t="s">
        <v>242</v>
      </c>
      <c r="H27" t="s">
        <v>243</v>
      </c>
    </row>
    <row r="28" spans="1:50">
      <c r="A28" s="21" t="s">
        <v>130</v>
      </c>
      <c r="B28" s="3" t="s">
        <v>195</v>
      </c>
      <c r="C28" s="3"/>
      <c r="D28" t="s">
        <v>244</v>
      </c>
      <c r="E28" t="s">
        <v>245</v>
      </c>
      <c r="G28" t="s">
        <v>246</v>
      </c>
      <c r="H28" t="s">
        <v>247</v>
      </c>
    </row>
    <row r="29" spans="1:50">
      <c r="A29" s="4" t="s">
        <v>248</v>
      </c>
      <c r="B29" s="3" t="s">
        <v>249</v>
      </c>
      <c r="C29" s="3"/>
      <c r="D29" t="s">
        <v>250</v>
      </c>
      <c r="E29" t="s">
        <v>251</v>
      </c>
      <c r="G29" t="s">
        <v>252</v>
      </c>
      <c r="H29" t="s">
        <v>253</v>
      </c>
    </row>
    <row r="30" spans="1:50" ht="57.95">
      <c r="A30" s="4" t="s">
        <v>254</v>
      </c>
      <c r="B30" s="3" t="s">
        <v>255</v>
      </c>
      <c r="C30" s="3"/>
    </row>
    <row r="31" spans="1:50" ht="57.95">
      <c r="A31" s="4" t="s">
        <v>132</v>
      </c>
      <c r="B31" s="3" t="s">
        <v>256</v>
      </c>
      <c r="C31" s="3"/>
    </row>
    <row r="32" spans="1:50" ht="57.95">
      <c r="A32" s="4" t="s">
        <v>257</v>
      </c>
      <c r="B32" s="3" t="s">
        <v>258</v>
      </c>
      <c r="C32" s="3"/>
    </row>
    <row r="33" spans="1:5" ht="57.95">
      <c r="A33" s="4" t="s">
        <v>259</v>
      </c>
      <c r="B33" s="3" t="s">
        <v>260</v>
      </c>
      <c r="C33" s="3"/>
    </row>
    <row r="34" spans="1:5" ht="57.95">
      <c r="A34" s="4" t="s">
        <v>133</v>
      </c>
      <c r="B34" s="3" t="s">
        <v>261</v>
      </c>
      <c r="C34" s="3"/>
    </row>
    <row r="35" spans="1:5" ht="116.1">
      <c r="A35" s="16" t="s">
        <v>91</v>
      </c>
      <c r="B35" s="3" t="s">
        <v>262</v>
      </c>
      <c r="C35" s="3" t="s">
        <v>263</v>
      </c>
      <c r="E35" s="3" t="s">
        <v>264</v>
      </c>
    </row>
    <row r="36" spans="1:5" ht="43.5">
      <c r="A36" s="16" t="s">
        <v>92</v>
      </c>
      <c r="B36" s="3" t="s">
        <v>262</v>
      </c>
    </row>
    <row r="37" spans="1:5" ht="43.5">
      <c r="A37" s="16" t="s">
        <v>93</v>
      </c>
      <c r="B37" s="3" t="s">
        <v>262</v>
      </c>
    </row>
    <row r="38" spans="1:5" ht="26.1">
      <c r="A38" s="33" t="s">
        <v>94</v>
      </c>
      <c r="B38" s="3" t="s">
        <v>265</v>
      </c>
    </row>
    <row r="39" spans="1:5" ht="43.5">
      <c r="A39" s="16" t="s">
        <v>95</v>
      </c>
      <c r="B39" s="3" t="s">
        <v>262</v>
      </c>
    </row>
    <row r="40" spans="1:5" ht="43.5">
      <c r="A40" s="16" t="s">
        <v>96</v>
      </c>
      <c r="B40" s="3" t="s">
        <v>262</v>
      </c>
    </row>
    <row r="41" spans="1:5" ht="43.5">
      <c r="A41" s="16" t="s">
        <v>97</v>
      </c>
      <c r="B41" s="3" t="s">
        <v>262</v>
      </c>
    </row>
    <row r="42" spans="1:5" ht="26.1">
      <c r="A42" s="34" t="s">
        <v>98</v>
      </c>
      <c r="B42" s="3" t="s">
        <v>266</v>
      </c>
    </row>
    <row r="43" spans="1:5" ht="29.1">
      <c r="A43" s="19" t="s">
        <v>99</v>
      </c>
      <c r="B43" s="3" t="s">
        <v>267</v>
      </c>
    </row>
    <row r="44" spans="1:5" ht="43.5">
      <c r="A44" s="18" t="s">
        <v>100</v>
      </c>
      <c r="B44" s="3" t="s">
        <v>268</v>
      </c>
    </row>
    <row r="45" spans="1:5" ht="43.5">
      <c r="A45" s="18" t="s">
        <v>101</v>
      </c>
      <c r="B45" s="3" t="s">
        <v>269</v>
      </c>
    </row>
    <row r="46" spans="1:5" ht="43.5">
      <c r="A46" s="18" t="s">
        <v>158</v>
      </c>
      <c r="B46" s="3" t="s">
        <v>270</v>
      </c>
    </row>
    <row r="47" spans="1:5" ht="26.1">
      <c r="A47" s="18" t="s">
        <v>102</v>
      </c>
      <c r="B47" s="3" t="s">
        <v>271</v>
      </c>
    </row>
    <row r="48" spans="1:5" ht="39">
      <c r="A48" s="18" t="s">
        <v>103</v>
      </c>
      <c r="B48" s="3" t="s">
        <v>272</v>
      </c>
    </row>
    <row r="49" spans="1:2">
      <c r="A49" s="33" t="s">
        <v>104</v>
      </c>
      <c r="B49" s="3" t="s">
        <v>273</v>
      </c>
    </row>
    <row r="50" spans="1:2" ht="29.1">
      <c r="A50" s="16" t="s">
        <v>105</v>
      </c>
      <c r="B50" s="3" t="s">
        <v>274</v>
      </c>
    </row>
    <row r="51" spans="1:2" ht="29.1">
      <c r="A51" s="16" t="s">
        <v>106</v>
      </c>
      <c r="B51" s="3" t="s">
        <v>275</v>
      </c>
    </row>
    <row r="52" spans="1:2" ht="29.1">
      <c r="A52" s="16" t="s">
        <v>107</v>
      </c>
      <c r="B52" s="3" t="s">
        <v>276</v>
      </c>
    </row>
    <row r="53" spans="1:2">
      <c r="A53" s="35" t="s">
        <v>277</v>
      </c>
      <c r="B53" s="3" t="s">
        <v>278</v>
      </c>
    </row>
    <row r="54" spans="1:2">
      <c r="A54" s="35" t="s">
        <v>279</v>
      </c>
      <c r="B54" s="3" t="s">
        <v>280</v>
      </c>
    </row>
    <row r="55" spans="1:2">
      <c r="A55" s="35" t="s">
        <v>281</v>
      </c>
      <c r="B55" s="3" t="s">
        <v>282</v>
      </c>
    </row>
    <row r="58" spans="1:2">
      <c r="A58" s="42" t="s">
        <v>160</v>
      </c>
    </row>
    <row r="59" spans="1:2" ht="29.1">
      <c r="A59">
        <v>1</v>
      </c>
      <c r="B59" s="3" t="s">
        <v>283</v>
      </c>
    </row>
    <row r="60" spans="1:2" ht="57.95">
      <c r="A60">
        <v>2</v>
      </c>
      <c r="B60" s="3" t="s">
        <v>284</v>
      </c>
    </row>
    <row r="62" spans="1:2">
      <c r="A62" s="1" t="s">
        <v>285</v>
      </c>
    </row>
    <row r="64" spans="1:2">
      <c r="A64" s="25" t="s">
        <v>286</v>
      </c>
      <c r="B64" s="6" t="s">
        <v>287</v>
      </c>
    </row>
    <row r="65" spans="1:2">
      <c r="A65" s="25" t="s">
        <v>167</v>
      </c>
      <c r="B65" s="6" t="s">
        <v>287</v>
      </c>
    </row>
    <row r="66" spans="1:2">
      <c r="A66" s="26" t="s">
        <v>7</v>
      </c>
      <c r="B66" s="6" t="s">
        <v>287</v>
      </c>
    </row>
    <row r="67" spans="1:2">
      <c r="A67" s="26" t="s">
        <v>238</v>
      </c>
      <c r="B67" s="6" t="s">
        <v>287</v>
      </c>
    </row>
    <row r="68" spans="1:2">
      <c r="A68" s="26" t="s">
        <v>130</v>
      </c>
      <c r="B68" s="6" t="s">
        <v>287</v>
      </c>
    </row>
    <row r="69" spans="1:2">
      <c r="A69" s="25" t="s">
        <v>248</v>
      </c>
      <c r="B69" s="6" t="s">
        <v>287</v>
      </c>
    </row>
    <row r="70" spans="1:2">
      <c r="A70" s="25" t="s">
        <v>254</v>
      </c>
      <c r="B70" s="6" t="s">
        <v>287</v>
      </c>
    </row>
    <row r="71" spans="1:2">
      <c r="A71" s="25" t="s">
        <v>132</v>
      </c>
      <c r="B71" s="6" t="s">
        <v>287</v>
      </c>
    </row>
    <row r="72" spans="1:2">
      <c r="A72" s="25" t="s">
        <v>257</v>
      </c>
      <c r="B72" s="6" t="s">
        <v>287</v>
      </c>
    </row>
    <row r="73" spans="1:2">
      <c r="A73" s="25" t="s">
        <v>259</v>
      </c>
      <c r="B73" s="6" t="s">
        <v>287</v>
      </c>
    </row>
    <row r="74" spans="1:2">
      <c r="A74" s="25" t="s">
        <v>133</v>
      </c>
      <c r="B74" s="6" t="s">
        <v>287</v>
      </c>
    </row>
    <row r="75" spans="1:2">
      <c r="A75" s="25" t="s">
        <v>288</v>
      </c>
      <c r="B75" s="6" t="s">
        <v>287</v>
      </c>
    </row>
    <row r="76" spans="1:2">
      <c r="A76" s="25" t="s">
        <v>289</v>
      </c>
      <c r="B76" s="6" t="s">
        <v>287</v>
      </c>
    </row>
    <row r="77" spans="1:2">
      <c r="A77" s="25" t="s">
        <v>290</v>
      </c>
      <c r="B77" s="6" t="s">
        <v>287</v>
      </c>
    </row>
    <row r="78" spans="1:2">
      <c r="A78" s="27" t="s">
        <v>291</v>
      </c>
      <c r="B78" s="6" t="s">
        <v>287</v>
      </c>
    </row>
    <row r="79" spans="1:2">
      <c r="A79" s="27" t="s">
        <v>292</v>
      </c>
      <c r="B79" s="6" t="s">
        <v>287</v>
      </c>
    </row>
    <row r="80" spans="1:2" ht="26.1">
      <c r="A80" s="28" t="s">
        <v>94</v>
      </c>
      <c r="B80" s="6" t="s">
        <v>287</v>
      </c>
    </row>
    <row r="81" spans="1:2">
      <c r="A81" s="27" t="s">
        <v>293</v>
      </c>
      <c r="B81" s="6" t="s">
        <v>287</v>
      </c>
    </row>
    <row r="82" spans="1:2">
      <c r="A82" s="27" t="s">
        <v>294</v>
      </c>
      <c r="B82" s="6" t="s">
        <v>287</v>
      </c>
    </row>
    <row r="83" spans="1:2">
      <c r="A83" s="27" t="s">
        <v>295</v>
      </c>
      <c r="B83" s="6" t="s">
        <v>287</v>
      </c>
    </row>
    <row r="84" spans="1:2" ht="26.1">
      <c r="A84" s="28" t="s">
        <v>98</v>
      </c>
      <c r="B84" s="6" t="s">
        <v>287</v>
      </c>
    </row>
    <row r="85" spans="1:2">
      <c r="A85" s="27" t="s">
        <v>296</v>
      </c>
      <c r="B85" s="6" t="s">
        <v>287</v>
      </c>
    </row>
    <row r="86" spans="1:2">
      <c r="A86" s="28" t="s">
        <v>100</v>
      </c>
      <c r="B86" s="6" t="s">
        <v>287</v>
      </c>
    </row>
    <row r="87" spans="1:2" ht="26.1">
      <c r="A87" s="28" t="s">
        <v>101</v>
      </c>
      <c r="B87" s="6" t="s">
        <v>287</v>
      </c>
    </row>
    <row r="88" spans="1:2">
      <c r="A88" s="28" t="s">
        <v>158</v>
      </c>
      <c r="B88" s="6" t="s">
        <v>287</v>
      </c>
    </row>
    <row r="89" spans="1:2" ht="26.1">
      <c r="A89" s="28" t="s">
        <v>102</v>
      </c>
      <c r="B89" s="6" t="s">
        <v>287</v>
      </c>
    </row>
    <row r="90" spans="1:2" ht="26.1">
      <c r="A90" s="28" t="s">
        <v>297</v>
      </c>
      <c r="B90" s="6"/>
    </row>
    <row r="91" spans="1:2" ht="39">
      <c r="A91" s="28" t="s">
        <v>298</v>
      </c>
      <c r="B91" s="6"/>
    </row>
    <row r="92" spans="1:2">
      <c r="A92" s="28" t="s">
        <v>104</v>
      </c>
      <c r="B92" s="6" t="s">
        <v>287</v>
      </c>
    </row>
    <row r="93" spans="1:2">
      <c r="A93" s="27" t="s">
        <v>299</v>
      </c>
      <c r="B93" s="6" t="s">
        <v>287</v>
      </c>
    </row>
    <row r="94" spans="1:2">
      <c r="A94" s="27" t="s">
        <v>300</v>
      </c>
      <c r="B94" s="6" t="s">
        <v>287</v>
      </c>
    </row>
    <row r="95" spans="1:2">
      <c r="A95" s="27" t="s">
        <v>301</v>
      </c>
      <c r="B95" s="6" t="s">
        <v>287</v>
      </c>
    </row>
    <row r="96" spans="1:2">
      <c r="A96" s="27" t="s">
        <v>302</v>
      </c>
      <c r="B96" s="6" t="s">
        <v>287</v>
      </c>
    </row>
    <row r="97" spans="1:6">
      <c r="A97" s="27" t="s">
        <v>303</v>
      </c>
      <c r="B97" s="6" t="s">
        <v>287</v>
      </c>
    </row>
    <row r="98" spans="1:6">
      <c r="A98" s="27" t="s">
        <v>304</v>
      </c>
      <c r="B98" s="6" t="s">
        <v>287</v>
      </c>
    </row>
    <row r="99" spans="1:6">
      <c r="A99" s="27" t="s">
        <v>158</v>
      </c>
      <c r="B99" s="6" t="s">
        <v>287</v>
      </c>
    </row>
    <row r="100" spans="1:6">
      <c r="A100" s="43" t="s">
        <v>305</v>
      </c>
    </row>
    <row r="102" spans="1:6">
      <c r="A102" s="42" t="s">
        <v>306</v>
      </c>
    </row>
    <row r="104" spans="1:6">
      <c r="A104" s="5" t="s">
        <v>7</v>
      </c>
      <c r="B104" s="6" t="s">
        <v>307</v>
      </c>
      <c r="C104" s="5" t="s">
        <v>308</v>
      </c>
      <c r="D104" s="5" t="s">
        <v>289</v>
      </c>
      <c r="E104" s="5" t="s">
        <v>309</v>
      </c>
    </row>
    <row r="105" spans="1:6">
      <c r="A105" s="5"/>
      <c r="B105" s="6"/>
      <c r="C105" s="5"/>
      <c r="D105" s="5"/>
      <c r="E105" s="5"/>
    </row>
    <row r="106" spans="1:6">
      <c r="A106" t="s">
        <v>4</v>
      </c>
      <c r="B106" t="s">
        <v>4</v>
      </c>
      <c r="C106" t="s">
        <v>4</v>
      </c>
      <c r="D106" t="s">
        <v>4</v>
      </c>
      <c r="E106" t="s">
        <v>4</v>
      </c>
    </row>
    <row r="109" spans="1:6">
      <c r="A109" s="1" t="s">
        <v>310</v>
      </c>
    </row>
    <row r="111" spans="1:6">
      <c r="A111" s="5" t="s">
        <v>7</v>
      </c>
      <c r="B111" s="6" t="s">
        <v>307</v>
      </c>
      <c r="C111" s="5" t="s">
        <v>308</v>
      </c>
      <c r="D111" s="5" t="s">
        <v>289</v>
      </c>
      <c r="E111" s="5" t="s">
        <v>309</v>
      </c>
      <c r="F111" s="5" t="s">
        <v>311</v>
      </c>
    </row>
    <row r="112" spans="1:6">
      <c r="A112" s="5"/>
      <c r="B112" s="6"/>
      <c r="C112" s="5"/>
      <c r="D112" s="5"/>
      <c r="E112" s="5"/>
      <c r="F112" s="5"/>
    </row>
    <row r="113" spans="1:6">
      <c r="A113" t="s">
        <v>4</v>
      </c>
      <c r="B113" t="s">
        <v>4</v>
      </c>
      <c r="C113" t="s">
        <v>4</v>
      </c>
      <c r="D113" t="s">
        <v>4</v>
      </c>
      <c r="E113" t="s">
        <v>4</v>
      </c>
      <c r="F113" t="s">
        <v>4</v>
      </c>
    </row>
    <row r="115" spans="1:6">
      <c r="A115" t="s">
        <v>312</v>
      </c>
    </row>
  </sheetData>
  <conditionalFormatting sqref="D17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D9716-B67D-484C-B0A3-AFD65007C155}">
  <dimension ref="A1:AQ12"/>
  <sheetViews>
    <sheetView topLeftCell="A9" workbookViewId="0">
      <selection activeCell="A10" sqref="A10:N12"/>
    </sheetView>
  </sheetViews>
  <sheetFormatPr defaultRowHeight="14.45"/>
  <cols>
    <col min="1" max="1" width="15.140625" bestFit="1" customWidth="1"/>
    <col min="2" max="2" width="12.28515625" bestFit="1" customWidth="1"/>
    <col min="7" max="7" width="14.7109375" bestFit="1" customWidth="1"/>
    <col min="9" max="9" width="14.28515625" bestFit="1" customWidth="1"/>
  </cols>
  <sheetData>
    <row r="1" spans="1:43">
      <c r="A1" s="1" t="s">
        <v>126</v>
      </c>
    </row>
    <row r="3" spans="1:43">
      <c r="A3" t="s">
        <v>3</v>
      </c>
    </row>
    <row r="4" spans="1:43">
      <c r="A4" t="s">
        <v>313</v>
      </c>
    </row>
    <row r="5" spans="1:43">
      <c r="A5" t="s">
        <v>7</v>
      </c>
    </row>
    <row r="7" spans="1:43">
      <c r="A7" t="s">
        <v>130</v>
      </c>
    </row>
    <row r="10" spans="1:43">
      <c r="A10" s="5" t="s">
        <v>3</v>
      </c>
      <c r="B10" s="5" t="s">
        <v>7</v>
      </c>
      <c r="C10" s="5" t="s">
        <v>130</v>
      </c>
      <c r="D10" s="5" t="s">
        <v>314</v>
      </c>
      <c r="E10" s="5" t="s">
        <v>315</v>
      </c>
      <c r="F10" s="5" t="s">
        <v>316</v>
      </c>
      <c r="G10" s="45" t="s">
        <v>116</v>
      </c>
      <c r="H10" s="45" t="s">
        <v>27</v>
      </c>
      <c r="I10" s="45" t="s">
        <v>317</v>
      </c>
      <c r="J10" s="45" t="s">
        <v>318</v>
      </c>
      <c r="K10" s="45" t="s">
        <v>319</v>
      </c>
      <c r="L10" s="45" t="s">
        <v>138</v>
      </c>
      <c r="M10" s="45" t="s">
        <v>320</v>
      </c>
      <c r="N10" s="45" t="s">
        <v>321</v>
      </c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</row>
    <row r="11" spans="1:4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4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29b2cc-4393-4691-814d-95eb8359c06c}" enabled="1" method="Standard" siteId="{deff24bb-2089-4400-8c8e-f71e680378b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KPMG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Panwala, Dipesh</dc:creator>
  <cp:keywords/>
  <dc:description/>
  <cp:lastModifiedBy/>
  <cp:revision/>
  <dcterms:created xsi:type="dcterms:W3CDTF">2026-07-23T05:47:50Z</dcterms:created>
  <dcterms:modified xsi:type="dcterms:W3CDTF">2026-10-15T10:57:19Z</dcterms:modified>
  <cp:category/>
  <cp:contentStatus/>
</cp:coreProperties>
</file>